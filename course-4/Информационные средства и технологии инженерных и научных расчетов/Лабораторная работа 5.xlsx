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xr2="http://schemas.microsoft.com/office/spreadsheetml/2015/revision2" xmlns:xr="http://schemas.microsoft.com/office/spreadsheetml/2014/revision" xmlns:xr10="http://schemas.microsoft.com/office/spreadsheetml/2016/revision10" xmlns:xr6="http://schemas.microsoft.com/office/spreadsheetml/2016/revision6" xmlns:mc="http://schemas.openxmlformats.org/markup-compatibility/2006" xmlns:unk1="http://schemas.microsoft.com/office/spreadsheetml/2010/11/main" xmlns:r="http://schemas.openxmlformats.org/officeDocument/2006/relationships" xmlns:s="http://schemas.openxmlformats.org/spreadsheetml/2006/main" xmlns:unk2="http://schemas.microsoft.com/office/spreadsheetml/2018/calcfeatures" mc:Ignorable="unk1 xr xr6 xr10 xr2">
  <s:fileVersion appName="xl" lastEdited="7" lowestEdited="4" rupBuild="29622"/>
  <s:workbookPr/>
  <s:bookViews>
    <s:workbookView xr2:uid="{00000000-000D-0000-FFFF-FFFF00000000}" xWindow="240" yWindow="105" windowWidth="14805" windowHeight="8010"/>
  </s:bookViews>
  <s:sheets>
    <s:sheet name="Лист1" sheetId="1" state="visible" r:id="rId1"/>
  </s:sheets>
  <s:calcPr calcId="191028"/>
  <s:extLst>
    <s:ext uri="{140A7094-0E35-4892-8432-C4D2E57EDEB5}">
      <unk1:workbookPr chartTrackingRefBase="1"/>
    </s:ext>
    <s:ext uri="{B58B0392-4F1F-4190-BB64-5DF3571DCE5F}">
      <unk2:calcFeatures>
        <unk2:feature name="microsoft.com:RD"/>
        <unk2:feature name="microsoft.com:Single"/>
        <unk2:feature name="microsoft.com:FV"/>
        <unk2:feature name="microsoft.com:CNMTM"/>
        <unk2:feature name="microsoft.com:LET_WF"/>
        <unk2:feature name="microsoft.com:LAMBDA_WF"/>
        <unk2:feature name="microsoft.com:ARRAYTEXT_WF"/>
      </unk2:calcFeatures>
    </s:ext>
  </s:extLst>
</s:workbook>
</file>

<file path=xl/sharedStrings.xml><?xml version="1.0" encoding="utf-8"?>
<s:sst xmlns:s="http://schemas.openxmlformats.org/spreadsheetml/2006/main" count="61" uniqueCount="43">
  <s:si>
    <s:t>Расчет теоретических частот для нормального распределения</s:t>
  </s:si>
  <s:si>
    <s:t>Сумма затрат предприятий на производстве, тыс. руб</s:t>
  </s:si>
  <s:si>
    <s:t>Количество предприятий, Fi</s:t>
  </s:si>
  <s:si>
    <s:t>Середина интервала, Xi</s:t>
  </s:si>
  <s:si>
    <s:t>A</s:t>
  </s:si>
  <s:si>
    <s:t>30-40</s:t>
  </s:si>
  <s:si>
    <s:t>пи</s:t>
  </s:si>
  <s:si>
    <s:t>e</s:t>
  </s:si>
  <s:si>
    <s:t>40-50</s:t>
  </s:si>
  <s:si>
    <s:t>50-60</s:t>
  </s:si>
  <s:si>
    <s:t>d</s:t>
  </s:si>
  <s:si>
    <s:t>60-70</s:t>
  </s:si>
  <s:si>
    <s:t>70-80</s:t>
  </s:si>
  <s:si>
    <s:t>80-90</s:t>
  </s:si>
  <s:si>
    <s:t>90-100</s:t>
  </s:si>
  <s:si>
    <s:t>Среднее, Xср</s:t>
  </s:si>
  <s:si>
    <s:t>100-110</s:t>
  </s:si>
  <s:si>
    <s:t>Ср. кв. откл</s:t>
  </s:si>
  <s:si>
    <s:t>110-120</s:t>
  </s:si>
  <s:si>
    <s:t>120-130</s:t>
  </s:si>
  <s:si>
    <s:t>130-140</s:t>
  </s:si>
  <s:si>
    <s:t>140-150</s:t>
  </s:si>
  <s:si>
    <s:t>150-160</s:t>
  </s:si>
  <s:si>
    <s:t>160-170</s:t>
  </s:si>
  <s:si>
    <s:t>Итого</s:t>
  </s:si>
  <s:si>
    <s:t>Частости, Wi</s:t>
  </s:si>
  <s:si>
    <s:t>Fi*Xi</s:t>
  </s:si>
  <s:si>
    <s:t>Xi-Xср</s:t>
  </s:si>
  <s:si>
    <s:t>(Xi-Xср)^2</s:t>
  </s:si>
  <s:si>
    <s:t>(Xi-Xср)^2*Wi</s:t>
  </s:si>
  <s:si>
    <s:t>Количество предприятий</s:t>
  </s:si>
  <s:si>
    <s:t xml:space="preserve"> Теоретические частоты</s:t>
  </s:si>
  <s:si>
    <s:t>Накопленные эмпирические частоты</s:t>
  </s:si>
  <s:si>
    <s:t>Накопленные теоретические частоты</s:t>
  </s:si>
  <s:si>
    <s:t>|Fi-Fm|</s:t>
  </s:si>
  <s:si>
    <s:t>fi</s:t>
  </s:si>
  <s:si>
    <s:t>fm</s:t>
  </s:si>
  <s:si>
    <s:t>Fi</s:t>
  </s:si>
  <s:si>
    <s:t>Fm</s:t>
  </s:si>
  <s:si>
    <s:t>Di</s:t>
  </s:si>
  <s:si>
    <s:t>Dmax</s:t>
  </s:si>
  <s:si>
    <s:t>лямбда</s:t>
  </s:si>
  <s:si>
    <s:t xml:space="preserve"> -&gt; значение вероятности P(лямбда) = 0,99 , следовательно распределение данных достаточно близко к нормальному закону</s:t>
  </s:si>
</s:sst>
</file>

<file path=xl/styles.xml><?xml version="1.0" encoding="utf-8"?>
<s:styleSheet xmlns:xr="http://schemas.microsoft.com/office/spreadsheetml/2014/revision" xmlns:x14="http://schemas.microsoft.com/office/spreadsheetml/2009/9/main" xmlns:x14ac="http://schemas.microsoft.com/office/spreadsheetml/2009/9/ac" xmlns:x16r2="http://schemas.microsoft.com/office/spreadsheetml/2015/02/main" xmlns:unk1="http://schemas.microsoft.com/office/spreadsheetml/2010/11/main" xmlns:vyd="http://volga.yandex.com/schemas/document/model" xmlns:s="http://schemas.openxmlformats.org/spreadsheetml/2006/main" xmlns:mc="http://schemas.openxmlformats.org/markup-compatibility/2006" mc:Ignorable="x14ac x16r2 xr">
  <s:numFmts count="3">
    <s:numFmt numFmtId="167" formatCode="0.0000"/>
    <s:numFmt numFmtId="168" formatCode="0.000"/>
    <s:numFmt numFmtId="170" formatCode="0.0"/>
  </s:numFmts>
  <s:fonts count="3">
    <s:font>
      <s:name val="Aptos Narrow"/>
      <s:family val="2"/>
      <s:color theme="1"/>
      <s:sz val="11"/>
      <s:scheme val="minor"/>
    </s:font>
    <s:font>
      <s:name val="Aptos Narrow"/>
      <s:family val="2"/>
      <s:b val="1"/>
      <s:color theme="1"/>
      <s:sz val="11"/>
      <s:scheme val="minor"/>
    </s:font>
    <s:font>
      <s:name val="Aptos Narrow"/>
      <s:charset val="1"/>
      <s:b val="1"/>
      <s:color rgb="FF242424"/>
      <s:sz val="11"/>
    </s:font>
  </s:fonts>
  <s:fills count="4">
    <s:fill>
      <s:patternFill patternType="none"/>
    </s:fill>
    <s:fill>
      <s:patternFill patternType="gray125"/>
    </s:fill>
    <s:fill>
      <s:patternFill patternType="solid">
        <s:fgColor theme="9" tint="0.8"/>
        <s:bgColor indexed="64"/>
      </s:patternFill>
    </s:fill>
    <s:fill>
      <s:patternFill patternType="solid">
        <s:fgColor theme="7" tint="0.8"/>
        <s:bgColor indexed="64"/>
      </s:patternFill>
    </s:fill>
  </s:fills>
  <s:borders count="6">
    <s:border>
      <s:left/>
      <s:right/>
      <s:top/>
      <s:bottom/>
      <s:diagonal/>
    </s:border>
    <s:border>
      <s:left style="thin">
        <s:color rgb="FF000000"/>
      </s:left>
      <s:right style="thin">
        <s:color rgb="FF000000"/>
      </s:right>
      <s:top style="thin">
        <s:color rgb="FF000000"/>
      </s:top>
      <s:bottom style="thin">
        <s:color rgb="FF000000"/>
      </s:bottom>
      <s:diagonal/>
    </s:border>
    <s:border>
      <s:left/>
      <s:right style="thin">
        <s:color rgb="FF000000"/>
      </s:right>
      <s:top style="thin">
        <s:color rgb="FF000000"/>
      </s:top>
      <s:bottom style="thin">
        <s:color rgb="FF000000"/>
      </s:bottom>
      <s:diagonal/>
    </s:border>
    <s:border>
      <s:left style="thin">
        <s:color rgb="FF000000"/>
      </s:left>
      <s:right/>
      <s:top style="thin">
        <s:color rgb="FF000000"/>
      </s:top>
      <s:bottom style="thin">
        <s:color rgb="FF000000"/>
      </s:bottom>
      <s:diagonal/>
    </s:border>
    <s:border>
      <s:left style="thin">
        <s:color rgb="FF000000"/>
      </s:left>
      <s:right/>
      <s:top style="thin">
        <s:color rgb="FF000000"/>
      </s:top>
      <s:bottom/>
      <s:diagonal/>
    </s:border>
    <s:border>
      <s:left style="thin">
        <s:color rgb="FF000000"/>
      </s:left>
      <s:right/>
      <s:top/>
      <s:bottom/>
      <s:diagonal/>
    </s:border>
  </s:borders>
  <s:cellStyleXfs count="1">
    <s:xf numFmtId="0" fontId="0" fillId="0" borderId="0"/>
  </s:cellStyleXfs>
  <s:cellXfs count="26">
    <s:xf numFmtId="0" fontId="0" fillId="0" borderId="0" xfId="0"/>
    <s:xf numFmtId="0" fontId="1" fillId="0" borderId="0" xfId="0" applyFont="1" applyAlignment="1">
      <s:alignment horizontal="left" mc:Ignorable="vyd"/>
    </s:xf>
    <s:xf numFmtId="0" fontId="1" fillId="2" borderId="1" xfId="0" applyFont="1" applyFill="1" applyBorder="1"/>
    <s:xf numFmtId="0" fontId="1" fillId="2" borderId="1" xfId="0" applyFont="1" applyFill="1" applyBorder="1" applyAlignment="1">
      <s:alignment horizontal="right" mc:Ignorable="vyd"/>
    </s:xf>
    <s:xf numFmtId="0" fontId="1" fillId="3" borderId="1" xfId="0" applyFont="1" applyFill="1" applyBorder="1" applyAlignment="1">
      <s:alignment wrapText="1" mc:Ignorable="vyd"/>
    </s:xf>
    <s:xf numFmtId="0" fontId="1" fillId="3" borderId="1" xfId="0" applyFont="1" applyFill="1" applyBorder="1"/>
    <s:xf numFmtId="0" fontId="1" fillId="3" borderId="1" xfId="0" applyFont="1" applyFill="1" applyBorder="1" applyAlignment="1">
      <s:alignment horizontal="center" vertical="center" wrapText="1" mc:Ignorable="vyd"/>
    </s:xf>
    <s:xf numFmtId="0" fontId="1" fillId="3" borderId="1" xfId="0" applyFont="1" applyFill="1" applyBorder="1" applyAlignment="1">
      <s:alignment horizontal="center" mc:Ignorable="vyd"/>
    </s:xf>
    <s:xf numFmtId="0" fontId="2" fillId="3" borderId="1" xfId="0" applyFont="1" applyFill="1" applyBorder="1" applyAlignment="1">
      <s:alignment horizontal="center" mc:Ignorable="vyd"/>
    </s:xf>
    <s:xf numFmtId="168" fontId="0" fillId="0" borderId="1" xfId="0" applyNumberFormat="1" applyBorder="1"/>
    <s:xf numFmtId="0" fontId="1" fillId="2" borderId="1" xfId="0" applyFont="1" applyFill="1" applyBorder="1" applyAlignment="1">
      <s:alignment horizontal="center" mc:Ignorable="vyd"/>
    </s:xf>
    <s:xf numFmtId="0" fontId="1" fillId="2" borderId="3" xfId="0" applyFont="1" applyFill="1" applyBorder="1" applyAlignment="1">
      <s:alignment horizontal="center" mc:Ignorable="vyd"/>
    </s:xf>
    <s:xf numFmtId="0" fontId="0" fillId="0" borderId="1" xfId="0" applyBorder="1" applyAlignment="1">
      <s:alignment horizontal="center" vertical="center" mc:Ignorable="vyd"/>
    </s:xf>
    <s:xf numFmtId="170" fontId="0" fillId="0" borderId="1" xfId="0" applyNumberFormat="1" applyBorder="1" applyAlignment="1">
      <s:alignment horizontal="center" vertical="center" mc:Ignorable="vyd"/>
    </s:xf>
    <s:xf numFmtId="167" fontId="0" fillId="0" borderId="1" xfId="0" applyNumberFormat="1" applyBorder="1" applyAlignment="1">
      <s:alignment horizontal="center" vertical="center" mc:Ignorable="vyd"/>
    </s:xf>
    <s:xf numFmtId="2" fontId="0" fillId="0" borderId="1" xfId="0" applyNumberFormat="1" applyBorder="1" applyAlignment="1">
      <s:alignment horizontal="center" vertical="center" mc:Ignorable="vyd"/>
    </s:xf>
    <s:xf numFmtId="0" fontId="0" fillId="0" borderId="1" xfId="0" applyBorder="1" applyAlignment="1">
      <s:alignment horizontal="center" mc:Ignorable="vyd"/>
    </s:xf>
    <s:xf numFmtId="1" fontId="0" fillId="0" borderId="1" xfId="0" applyNumberFormat="1" applyBorder="1" applyAlignment="1">
      <s:alignment horizontal="center" mc:Ignorable="vyd"/>
    </s:xf>
    <s:xf numFmtId="167" fontId="0" fillId="0" borderId="1" xfId="0" applyNumberFormat="1" applyBorder="1" applyAlignment="1">
      <s:alignment horizontal="center" mc:Ignorable="vyd"/>
    </s:xf>
    <s:xf numFmtId="2" fontId="0" fillId="0" borderId="1" xfId="0" applyNumberFormat="1" applyBorder="1" applyAlignment="1">
      <s:alignment horizontal="center" mc:Ignorable="vyd"/>
    </s:xf>
    <s:xf numFmtId="167" fontId="0" fillId="0" borderId="2" xfId="0" applyNumberFormat="1" applyBorder="1" applyAlignment="1">
      <s:alignment horizontal="center" mc:Ignorable="vyd"/>
    </s:xf>
    <s:xf numFmtId="170" fontId="0" fillId="0" borderId="1" xfId="0" applyNumberFormat="1" applyBorder="1" applyAlignment="1">
      <s:alignment horizontal="center" mc:Ignorable="vyd"/>
    </s:xf>
    <s:xf numFmtId="0" fontId="0" fillId="0" borderId="4" xfId="0" applyBorder="1" applyAlignment="1">
      <s:alignment horizontal="center" mc:Ignorable="vyd"/>
    </s:xf>
    <s:xf numFmtId="2" fontId="0" fillId="0" borderId="1" xfId="0" applyNumberFormat="1" applyBorder="1" applyAlignment="1">
      <s:alignment horizontal="center" wrapText="1" mc:Ignorable="vyd"/>
    </s:xf>
    <s:xf numFmtId="0" fontId="0" fillId="0" borderId="5" xfId="0" applyBorder="1" applyAlignment="1">
      <s:alignment horizontal="left" wrapText="1" mc:Ignorable="vyd"/>
    </s:xf>
    <s:xf numFmtId="0" fontId="0" fillId="0" borderId="0" xfId="0" applyAlignment="1">
      <s:alignment horizontal="left" wrapText="1" mc:Ignorable="vyd"/>
    </s:xf>
  </s:cellXfs>
  <s:cellStyles count="1">
    <s:cellStyle name="Обычный" xfId="0" builtinId="0"/>
  </s:cellStyles>
  <s:dxfs count="0"/>
  <s:tableStyles count="0" defaultTableStyle="TableStyleMedium2" defaultPivotStyle="PivotStyleMedium9"/>
  <s:extLst>
    <s:ext uri="{EB79DEF2-80B8-43e5-95BD-54CBDDF9020C}">
      <x14:slicerStyles defaultSlicerStyle="SlicerStyleLight1"/>
    </s:ext>
    <s:ext uri="{9260A510-F301-46a8-8635-F512D64BE5F5}">
      <unk1:timelineStyles defaultTimelineStyle="TimeSlicerStyleLight1"/>
    </s:ext>
  </s:extLst>
</s:styleSheet>
</file>

<file path=xl/_rels/workbook.xml.rels><?xml version="1.0" ?><Relationships xmlns="http://schemas.openxmlformats.org/package/2006/relationships"><Relationship Id="rId2" Type="http://schemas.openxmlformats.org/officeDocument/2006/relationships/styles" Target="styles.xml"/><Relationship Id="rId4" Type="http://schemas.openxmlformats.org/officeDocument/2006/relationships/sharedStrings" Target="sharedStrings.xml"/><Relationship Target="theme/theme1.xml" Type="http://schemas.openxmlformats.org/officeDocument/2006/relationships/theme" Id="rId3"/><Relationship Target="worksheets/sheet1.xml" Type="http://schemas.openxmlformats.org/officeDocument/2006/relationships/worksheet" Id="rId1"/></Relationships>
</file>

<file path=xl/drawings/_rels/drawing1.xml.rels><?xml version="1.0" ?><Relationships xmlns="http://schemas.openxmlformats.org/package/2006/relationships"><Relationship Target="../media/image1.png" Type="http://schemas.openxmlformats.org/officeDocument/2006/relationships/image" Id="rId1"/><Relationship Target="../media/image2.png" Type="http://schemas.openxmlformats.org/officeDocument/2006/relationships/image" Id="rId2"/><Relationship Target="../media/image3.png" Type="http://schemas.openxmlformats.org/officeDocument/2006/relationships/image" Id="rId3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unk3="http://schemas.microsoft.com/office/drawing/2014/main">
  <xdr:oneCellAnchor editAs="oneCell">
    <xdr:to>
      <xdr:col>3</xdr:col>
      <xdr:colOff>98</xdr:colOff>
      <xdr:row>2</xdr:row>
      <xdr:rowOff>62</xdr:rowOff>
    </xdr:to>
    <xdr:from>
      <xdr:col>3</xdr:col>
      <xdr:colOff>38100</xdr:colOff>
      <xdr:row>2</xdr:row>
      <xdr:rowOff>133350</xdr:rowOff>
    </xdr:from>
    <xdr:ext cx="895350" cy="457200"/>
    <xdr:pic>
      <xdr:nvPicPr>
        <xdr:cNvPr id="2" name="Рисунок 1">
          <a:extLst>
            <a:ext uri="{FF2B5EF4-FFF2-40B4-BE49-F238E27FC236}">
              <unk3:creationId id="{2A5F6F99-F3F7-4603-E0FE-2A05EA8F652F}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 bwMode="auto">
        <a:xfrm>
          <a:off x="2771775" y="514350"/>
          <a:ext cx="895350" cy="457200"/>
        </a:xfrm>
        <a:prstGeom prst="rect">
          <a:avLst/>
        </a:prstGeom>
      </xdr:spPr>
    </xdr:pic>
    <xdr:clientData/>
  </xdr:oneCellAnchor>
  <xdr:oneCellAnchor editAs="oneCell">
    <xdr:to>
      <xdr:col>4</xdr:col>
      <xdr:colOff>100</xdr:colOff>
      <xdr:row>2</xdr:row>
      <xdr:rowOff>62</xdr:rowOff>
    </xdr:to>
    <xdr:from>
      <xdr:col>4</xdr:col>
      <xdr:colOff>76200</xdr:colOff>
      <xdr:row>2</xdr:row>
      <xdr:rowOff>171450</xdr:rowOff>
    </xdr:from>
    <xdr:ext cx="876300" cy="419100"/>
    <xdr:pic>
      <xdr:nvPicPr>
        <xdr:cNvPr id="3" name="Рисунок 2">
          <a:extLst>
            <a:ext uri="{FF2B5EF4-FFF2-40B4-BE49-F238E27FC236}">
              <unk3:creationId id="{A00A772C-A861-D42E-E7B4-F9A8B2927C74}"/>
            </a:ext>
            <a:ext uri="{147F2762-F138-4A5C-976F-8EAC2B608ADB}">
              <unk3:predDERef pred="{2A5F6F99-F3F7-4603-E0FE-2A05EA8F652F}"/>
            </a:ext>
          </a:extLst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 bwMode="auto">
        <a:xfrm>
          <a:off x="3829050" y="552450"/>
          <a:ext cx="876300" cy="419100"/>
        </a:xfrm>
        <a:prstGeom prst="rect">
          <a:avLst/>
        </a:prstGeom>
      </xdr:spPr>
    </xdr:pic>
    <xdr:clientData/>
  </xdr:oneCellAnchor>
  <xdr:oneCellAnchor editAs="oneCell">
    <xdr:to>
      <xdr:col>5</xdr:col>
      <xdr:colOff>115</xdr:colOff>
      <xdr:row>2</xdr:row>
      <xdr:rowOff>65</xdr:rowOff>
    </xdr:to>
    <xdr:from>
      <xdr:col>5</xdr:col>
      <xdr:colOff>66675</xdr:colOff>
      <xdr:row>2</xdr:row>
      <xdr:rowOff>180975</xdr:rowOff>
    </xdr:from>
    <xdr:ext cx="1028700" cy="438150"/>
    <xdr:pic>
      <xdr:nvPicPr>
        <xdr:cNvPr id="4" name="Рисунок 3">
          <a:extLst>
            <a:ext uri="{FF2B5EF4-FFF2-40B4-BE49-F238E27FC236}">
              <unk3:creationId id="{8C1F74EA-B67D-EA10-554E-B8973088D4B3}"/>
            </a:ext>
            <a:ext uri="{147F2762-F138-4A5C-976F-8EAC2B608ADB}">
              <unk3:predDERef pred="{A00A772C-A861-D42E-E7B4-F9A8B2927C74}"/>
            </a:ext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 bwMode="auto">
        <a:xfrm>
          <a:off x="4829175" y="561975"/>
          <a:ext cx="1028700" cy="4381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thm15="http://schemas.microsoft.com/office/thememl/2012/main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Tfng" typeface="Ebrima"/>
      </a:majorFont>
      <a:minorFont>
        <a:latin typeface="Aptos Narrow" panose="02110004020202020204"/>
        <a:ea typeface=""/>
        <a:cs typeface="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s:worksheet xmlns:xr="http://schemas.microsoft.com/office/spreadsheetml/2014/revision" xmlns:x14ac="http://schemas.microsoft.com/office/spreadsheetml/2009/9/ac" xmlns:r="http://schemas.openxmlformats.org/officeDocument/2006/relationships" xmlns:s="http://schemas.openxmlformats.org/spreadsheetml/2006/main" xmlns:xr3="http://schemas.microsoft.com/office/spreadsheetml/2016/revision3" xmlns:xr2="http://schemas.microsoft.com/office/spreadsheetml/2015/revision2" xmlns:mc="http://schemas.openxmlformats.org/markup-compatibility/2006" mc:Ignorable="x14ac xr xr2 xr3" xr:uid="{00000000-0001-0000-0000-000000000000}">
  <s:dimension ref="A1:I61"/>
  <s:sheetViews>
    <s:sheetView tabSelected="0" topLeftCell="A45" workbookViewId="0">
      <s:selection activeCell="B62" sqref="B62"/>
    </s:sheetView>
  </s:sheetViews>
  <s:sheetFormatPr defaultColWidth="10" defaultRowHeight="15"/>
  <s:cols>
    <s:col min="1" max="1" width="16.141" customWidth="1"/>
    <s:col min="2" max="2" width="13.285" customWidth="1"/>
    <s:col min="3" max="3" width="14.57" customWidth="1"/>
    <s:col min="4" max="4" width="15.285" customWidth="1"/>
    <s:col min="5" max="5" width="16.141" customWidth="1"/>
    <s:col min="6" max="6" width="17.57" customWidth="1"/>
    <s:col min="7" max="7" width="12.855" customWidth="1"/>
    <s:col min="8" max="8" width="13.426" customWidth="1"/>
  </s:cols>
  <s:sheetData>
    <s:row r="1">
      <s:c r="A1" s="1" t="s">
        <s:v>0</s:v>
      </s:c>
      <s:c r="B1" s="1"/>
      <s:c r="C1" s="1"/>
      <s:c r="D1" s="1"/>
      <s:c r="E1" s="1"/>
      <s:c r="F1" s="1"/>
    </s:row>
    <s:row r="3" spans="1:9" ht="60" customHeight="1">
      <s:c r="A3" s="4" t="s">
        <s:v>1</s:v>
      </s:c>
      <s:c r="B3" s="4" t="s">
        <s:v>2</s:v>
      </s:c>
      <s:c r="C3" s="4" t="s">
        <s:v>3</s:v>
      </s:c>
      <s:c r="D3" s="5"/>
      <s:c r="E3" s="5"/>
      <s:c r="F3" s="5"/>
    </s:row>
    <s:row r="4">
      <s:c r="A4" s="12" t="s">
        <s:v>4</s:v>
      </s:c>
      <s:c r="B4" s="12">
        <s:v>1</s:v>
      </s:c>
      <s:c r="C4" s="12">
        <s:v>2</s:v>
      </s:c>
      <s:c r="D4" s="12">
        <s:v>3</s:v>
      </s:c>
      <s:c r="E4" s="12">
        <s:v>4</s:v>
      </s:c>
      <s:c r="F4" s="12">
        <s:v>5</s:v>
      </s:c>
    </s:row>
    <s:row r="5">
      <s:c r="A5" s="12" t="s">
        <s:v>5</s:v>
      </s:c>
      <s:c r="B5" s="12">
        <s:v>2</s:v>
      </s:c>
      <s:c r="C5" s="12">
        <s:f>(30+40)/2</s:f>
        <s:v>35</s:v>
      </s:c>
      <s:c r="D5" s="13">
        <s:f>D22/$I$12</s:f>
        <s:v>-2.0994260166621275</s:v>
      </s:c>
      <s:c r="E5" s="14">
        <s:f>(1/SQRT(2*$H$6))*$I$6^((D5^2)/(-2))</s:f>
        <s:v>4.4040207981545197E-2</s:v>
      </s:c>
      <s:c r="F5" s="13">
        <s:f>E5*(($B$19*$H$8)/$I$12)</s:f>
        <s:v>1.6048268210719354</s:v>
      </s:c>
      <s:c r="H5" s="11" t="s">
        <s:v>6</s:v>
      </s:c>
      <s:c r="I5" s="10" t="s">
        <s:v>7</s:v>
      </s:c>
    </s:row>
    <s:row r="6">
      <s:c r="A6" s="12" t="s">
        <s:v>8</s:v>
      </s:c>
      <s:c r="B6" s="12">
        <s:v>4</s:v>
      </s:c>
      <s:c r="C6" s="12">
        <s:f>(40+50)/2</s:f>
        <s:v>45</s:v>
      </s:c>
      <s:c r="D6" s="15">
        <s:f>D23/$I$12</s:f>
        <s:v>-1.7620182639842858</s:v>
      </s:c>
      <s:c r="E6" s="14">
        <s:f>(1/SQRT(2*$H$6))*$I$6^((D6^2)/(-2))</s:f>
        <s:v>8.4480779098433378E-2</s:v>
      </s:c>
      <s:c r="F6" s="13">
        <s:f>E6*(($B$19*$H$8)/$I$12)</s:f>
        <s:v>3.0784827405681656</s:v>
      </s:c>
      <s:c r="H6" s="22">
        <s:v>3.1415000000000002</s:v>
      </s:c>
      <s:c r="I6" s="16">
        <s:v>2.7181999999999999</s:v>
      </s:c>
    </s:row>
    <s:row r="7">
      <s:c r="A7" s="12" t="s">
        <s:v>9</s:v>
      </s:c>
      <s:c r="B7" s="12">
        <s:v>6</s:v>
      </s:c>
      <s:c r="C7" s="12">
        <s:f>(50+60)/2</s:f>
        <s:v>55</s:v>
      </s:c>
      <s:c r="D7" s="15">
        <s:f>D24/$I$12</s:f>
        <s:v>-1.4246105113064438</s:v>
      </s:c>
      <s:c r="E7" s="14">
        <s:f>(1/SQRT(2*$H$6))*$I$6^((D7^2)/(-2))</s:f>
        <s:v>0.14461925850289278</s:v>
      </s:c>
      <s:c r="F7" s="13">
        <s:f>E7*(($B$19*$H$8)/$I$12)</s:f>
        <s:v>5.2699311725828686</s:v>
      </s:c>
      <s:c r="H7" s="10" t="s">
        <s:v>10</s:v>
      </s:c>
    </s:row>
    <s:row r="8">
      <s:c r="A8" s="12" t="s">
        <s:v>11</s:v>
      </s:c>
      <s:c r="B8" s="12">
        <s:v>8</s:v>
      </s:c>
      <s:c r="C8" s="12">
        <s:f>(60+70)/2</s:f>
        <s:v>65</s:v>
      </s:c>
      <s:c r="D8" s="15">
        <s:f>D25/$I$12</s:f>
        <s:v>-1.0872027586286019</s:v>
      </s:c>
      <s:c r="E8" s="14">
        <s:f>(1/SQRT(2*$H$6))*$I$6^((D8^2)/(-2))</s:f>
        <s:v>0.22092965868936071</s:v>
      </s:c>
      <s:c r="F8" s="13">
        <s:f>E8*(($B$19*$H$8)/$I$12)</s:f>
        <s:v>8.050685000932063</s:v>
      </s:c>
      <s:c r="H8" s="16">
        <s:v>10</s:v>
      </s:c>
    </s:row>
    <s:row r="9">
      <s:c r="A9" s="12" t="s">
        <s:v>12</s:v>
      </s:c>
      <s:c r="B9" s="12">
        <s:v>11</s:v>
      </s:c>
      <s:c r="C9" s="12">
        <s:f>(70+80)/2</s:f>
        <s:v>75</s:v>
      </s:c>
      <s:c r="D9" s="15">
        <s:f>D26/$I$12</s:f>
        <s:v>-0.74979500595075999</s:v>
      </s:c>
      <s:c r="E9" s="14">
        <s:f>(1/SQRT(2*$H$6))*$I$6^((D9^2)/(-2))</s:f>
        <s:v>0.30119071801514735</s:v>
      </s:c>
      <s:c r="F9" s="13">
        <s:f>E9*(($B$19*$H$8)/$I$12)</s:f>
        <s:v>10.975400995634978</s:v>
      </s:c>
    </s:row>
    <s:row r="10">
      <s:c r="A10" s="12" t="s">
        <s:v>13</s:v>
      </s:c>
      <s:c r="B10" s="12">
        <s:v>14</s:v>
      </s:c>
      <s:c r="C10" s="12">
        <s:f>(80+90)/2</s:f>
        <s:v>85</s:v>
      </s:c>
      <s:c r="D10" s="15">
        <s:f>D27/$I$12</s:f>
        <s:v>-0.41238725327291809</s:v>
      </s:c>
      <s:c r="E10" s="14">
        <s:f>(1/SQRT(2*$H$6))*$I$6^((D10^2)/(-2))</s:f>
        <s:v>0.36642813909343447</s:v>
      </s:c>
      <s:c r="F10" s="13">
        <s:f>E10*(($B$19*$H$8)/$I$12)</s:f>
        <s:v>13.352655052379454</s:v>
      </s:c>
    </s:row>
    <s:row r="11">
      <s:c r="A11" s="12" t="s">
        <s:v>14</s:v>
      </s:c>
      <s:c r="B11" s="12">
        <s:v>15</s:v>
      </s:c>
      <s:c r="C11" s="12">
        <s:f>(90+100)/2</s:f>
        <s:v>95</s:v>
      </s:c>
      <s:c r="D11" s="15">
        <s:f>D28/$I$12</s:f>
        <s:v>-7.4979500595076187E-2</s:v>
      </s:c>
      <s:c r="E11" s="14">
        <s:f>(1/SQRT(2*$H$6))*$I$6^((D11^2)/(-2))</s:f>
        <s:v>0.39782834335144018</s:v>
      </s:c>
      <s:c r="F11" s="13">
        <s:f>E11*(($B$19*$H$8)/$I$12)</s:f>
        <s:v>14.496879666429898</s:v>
      </s:c>
      <s:c r="H11" s="2" t="s">
        <s:v>15</s:v>
      </s:c>
      <s:c r="I11" s="9">
        <s:f>C36/B19</s:f>
        <s:v>97.222222222222229</s:v>
      </s:c>
    </s:row>
    <s:row r="12">
      <s:c r="A12" s="12" t="s">
        <s:v>16</s:v>
      </s:c>
      <s:c r="B12" s="12">
        <s:v>13</s:v>
      </s:c>
      <s:c r="C12" s="12">
        <s:f>(100+110)/2</s:f>
        <s:v>105</s:v>
      </s:c>
      <s:c r="D12" s="15">
        <s:f>D29/$I$12</s:f>
        <s:v>0.26242825208276571</s:v>
      </s:c>
      <s:c r="E12" s="14">
        <s:f>(1/SQRT(2*$H$6))*$I$6^((D12^2)/(-2))</s:f>
        <s:v>0.3854448936740425</s:v>
      </s:c>
      <s:c r="F12" s="13">
        <s:f>E12*(($B$19*$H$8)/$I$12)</s:f>
        <s:v>14.045626298416508</s:v>
      </s:c>
      <s:c r="H12" s="2" t="s">
        <s:v>17</s:v>
      </s:c>
      <s:c r="I12" s="9">
        <s:f>SQRT(F36)</s:f>
        <s:v>29.6377303741092</s:v>
      </s:c>
    </s:row>
    <s:row r="13">
      <s:c r="A13" s="12" t="s">
        <s:v>18</s:v>
      </s:c>
      <s:c r="B13" s="12">
        <s:v>11</s:v>
      </s:c>
      <s:c r="C13" s="12">
        <s:f>(110+120)/2</s:f>
        <s:v>115</s:v>
      </s:c>
      <s:c r="D13" s="15">
        <s:f>D30/$I$12</s:f>
        <s:v>0.59983600476060761</s:v>
      </s:c>
      <s:c r="E13" s="14">
        <s:f>(1/SQRT(2*$H$6))*$I$6^((D13^2)/(-2))</s:f>
        <s:v>0.3332641076277566</s:v>
      </s:c>
      <s:c r="F13" s="13">
        <s:f>E13*(($B$19*$H$8)/$I$12)</s:f>
        <s:v>12.144156509109722</s:v>
      </s:c>
    </s:row>
    <s:row r="14">
      <s:c r="A14" s="12" t="s">
        <s:v>19</s:v>
      </s:c>
      <s:c r="B14" s="12">
        <s:v>8</s:v>
      </s:c>
      <s:c r="C14" s="12">
        <s:f>(120+130)/2</s:f>
        <s:v>125</s:v>
      </s:c>
      <s:c r="D14" s="15">
        <s:f>D31/$I$12</s:f>
        <s:v>0.93724375743844957</s:v>
      </s:c>
      <s:c r="E14" s="14">
        <s:f>(1/SQRT(2*$H$6))*$I$6^((D14^2)/(-2))</s:f>
        <s:v>0.2571428542740149</s:v>
      </s:c>
      <s:c r="F14" s="13">
        <s:f>E14*(($B$19*$H$8)/$I$12)</s:f>
        <s:v>9.370295198398205</s:v>
      </s:c>
    </s:row>
    <s:row r="15">
      <s:c r="A15" s="12" t="s">
        <s:v>20</s:v>
      </s:c>
      <s:c r="B15" s="12">
        <s:v>6</s:v>
      </s:c>
      <s:c r="C15" s="12">
        <s:f>(130+140)/2</s:f>
        <s:v>135</s:v>
      </s:c>
      <s:c r="D15" s="15">
        <s:f>D32/$I$12</s:f>
        <s:v>1.2746515101162914</s:v>
      </s:c>
      <s:c r="E15" s="14">
        <s:f>(1/SQRT(2*$H$6))*$I$6^((D15^2)/(-2))</s:f>
        <s:v>0.17705983233548186</s:v>
      </s:c>
      <s:c r="F15" s="13">
        <s:f>E15*(($B$19*$H$8)/$I$12)</s:f>
        <s:v>6.4520668927256857</s:v>
      </s:c>
    </s:row>
    <s:row r="16">
      <s:c r="A16" s="12" t="s">
        <s:v>21</s:v>
      </s:c>
      <s:c r="B16" s="12">
        <s:v>5</s:v>
      </s:c>
      <s:c r="C16" s="12">
        <s:f>(140+150)/2</s:f>
        <s:v>145</s:v>
      </s:c>
      <s:c r="D16" s="15">
        <s:f>D33/$I$12</s:f>
        <s:v>1.6120592627941335</s:v>
      </s:c>
      <s:c r="E16" s="14">
        <s:f>(1/SQRT(2*$H$6))*$I$6^((D16^2)/(-2))</s:f>
        <s:v>0.10879910130803364</s:v>
      </s:c>
      <s:c r="F16" s="13">
        <s:f>E16*(($B$19*$H$8)/$I$12)</s:f>
        <s:v>3.9646433086969477</s:v>
      </s:c>
    </s:row>
    <s:row r="17">
      <s:c r="A17" s="12" t="s">
        <s:v>22</s:v>
      </s:c>
      <s:c r="B17" s="12">
        <s:v>3</s:v>
      </s:c>
      <s:c r="C17" s="12">
        <s:f>(150+160)/2</s:f>
        <s:v>155</s:v>
      </s:c>
      <s:c r="D17" s="15">
        <s:f>D34/$I$12</s:f>
        <s:v>1.9494670154719753</s:v>
      </s:c>
      <s:c r="E17" s="14">
        <s:f>(1/SQRT(2*$H$6))*$I$6^((D17^2)/(-2))</s:f>
        <s:v>5.9660960169841779E-2</s:v>
      </s:c>
      <s:c r="F17" s="13">
        <s:f>E17*(($B$19*$H$8)/$I$12)</s:f>
        <s:v>2.1740476132989235</s:v>
      </s:c>
    </s:row>
    <s:row r="18">
      <s:c r="A18" s="12" t="s">
        <s:v>23</s:v>
      </s:c>
      <s:c r="B18" s="12">
        <s:v>2</s:v>
      </s:c>
      <s:c r="C18" s="12">
        <s:f>(160+170)/2</s:f>
        <s:v>165</s:v>
      </s:c>
      <s:c r="D18" s="15">
        <s:f>D35/$I$12</s:f>
        <s:v>2.2868747681498172</s:v>
      </s:c>
      <s:c r="E18" s="14">
        <s:f>(1/SQRT(2*$H$6))*$I$6^((D18^2)/(-2))</s:f>
        <s:v>2.9195427576134456E-2</s:v>
      </s:c>
      <s:c r="F18" s="13">
        <s:f>E18*(($B$19*$H$8)/$I$12)</s:f>
        <s:v>1.0638824695486797</s:v>
      </s:c>
    </s:row>
    <s:row r="19">
      <s:c r="A19" s="3" t="s">
        <s:v>24</s:v>
      </s:c>
      <s:c r="B19" s="16">
        <s:f>SUM(B5:B18)</s:f>
        <s:v>108</s:v>
      </s:c>
      <s:c r="C19" s="16"/>
      <s:c r="D19" s="16"/>
      <s:c r="E19" s="16"/>
      <s:c r="F19" s="17">
        <s:f>SUM(F5:F18)</s:f>
        <s:v>106.04357973979403</s:v>
      </s:c>
    </s:row>
    <s:row r="21">
      <s:c r="B21" s="7" t="s">
        <s:v>25</s:v>
      </s:c>
      <s:c r="C21" s="7" t="s">
        <s:v>26</s:v>
      </s:c>
      <s:c r="D21" s="7" t="s">
        <s:v>27</s:v>
      </s:c>
      <s:c r="E21" s="8" t="s">
        <s:v>28</s:v>
      </s:c>
      <s:c r="F21" s="6" t="s">
        <s:v>29</s:v>
      </s:c>
    </s:row>
    <s:row r="22">
      <s:c r="B22" s="18">
        <s:f>B5/$B$19</s:f>
        <s:v>1.8518518518518517E-2</s:v>
      </s:c>
      <s:c r="C22" s="16">
        <s:f>B5*C5</s:f>
        <s:v>70</s:v>
      </s:c>
      <s:c r="D22" s="19">
        <s:f>C5-$I$11</s:f>
        <s:v>-62.222222222222229</s:v>
      </s:c>
      <s:c r="E22" s="19">
        <s:f>D22*D22</s:f>
        <s:v>3871.6049382716055</s:v>
      </s:c>
      <s:c r="F22" s="19">
        <s:f>E22*B22</s:f>
        <s:v>71.696387745770465</s:v>
      </s:c>
    </s:row>
    <s:row r="23">
      <s:c r="B23" s="18">
        <s:f>B6/$B$19</s:f>
        <s:v>3.7037037037037035E-2</s:v>
      </s:c>
      <s:c r="C23" s="16">
        <s:f>B6*C6</s:f>
        <s:v>180</s:v>
      </s:c>
      <s:c r="D23" s="19">
        <s:f>C6-$I$11</s:f>
        <s:v>-52.222222222222229</s:v>
      </s:c>
      <s:c r="E23" s="19">
        <s:f>D23*D23</s:f>
        <s:v>2727.1604938271612</s:v>
      </s:c>
      <s:c r="F23" s="19">
        <s:f>E23*B23</s:f>
        <s:v>101.00594421582078</s:v>
      </s:c>
    </s:row>
    <s:row r="24">
      <s:c r="B24" s="18">
        <s:f>B7/$B$19</s:f>
        <s:v>5.5555555555555552E-2</s:v>
      </s:c>
      <s:c r="C24" s="16">
        <s:f>B7*C7</s:f>
        <s:v>330</s:v>
      </s:c>
      <s:c r="D24" s="19">
        <s:f>C7-$I$11</s:f>
        <s:v>-42.222222222222229</s:v>
      </s:c>
      <s:c r="E24" s="19">
        <s:f>D24*D24</s:f>
        <s:v>1782.7160493827166</s:v>
      </s:c>
      <s:c r="F24" s="19">
        <s:f>E24*B24</s:f>
        <s:v>99.039780521262031</s:v>
      </s:c>
    </s:row>
    <s:row r="25">
      <s:c r="B25" s="18">
        <s:f>B8/$B$19</s:f>
        <s:v>7.407407407407407E-2</s:v>
      </s:c>
      <s:c r="C25" s="16">
        <s:f>B8*C8</s:f>
        <s:v>520</s:v>
      </s:c>
      <s:c r="D25" s="19">
        <s:f>C8-$I$11</s:f>
        <s:v>-32.222222222222229</s:v>
      </s:c>
      <s:c r="E25" s="19">
        <s:f>D25*D25</s:f>
        <s:v>1038.271604938272</s:v>
      </s:c>
      <s:c r="F25" s="19">
        <s:f>E25*B25</s:f>
        <s:v>76.909007773205332</s:v>
      </s:c>
    </s:row>
    <s:row r="26">
      <s:c r="B26" s="18">
        <s:f>B9/$B$19</s:f>
        <s:v>0.10185185185185185</s:v>
      </s:c>
      <s:c r="C26" s="16">
        <s:f>B9*C9</s:f>
        <s:v>825</s:v>
      </s:c>
      <s:c r="D26" s="19">
        <s:f>C9-$I$11</s:f>
        <s:v>-22.222222222222229</s:v>
      </s:c>
      <s:c r="E26" s="19">
        <s:f>D26*D26</s:f>
        <s:v>493.82716049382742</s:v>
      </s:c>
      <s:c r="F26" s="19">
        <s:f>E26*B26</s:f>
        <s:v>50.297210791037976</s:v>
      </s:c>
    </s:row>
    <s:row r="27">
      <s:c r="B27" s="18">
        <s:f>B10/$B$19</s:f>
        <s:v>0.12962962962962962</s:v>
      </s:c>
      <s:c r="C27" s="16">
        <s:f>B10*C10</s:f>
        <s:v>1190</s:v>
      </s:c>
      <s:c r="D27" s="19">
        <s:f>C10-$I$11</s:f>
        <s:v>-12.222222222222229</s:v>
      </s:c>
      <s:c r="E27" s="19">
        <s:f>D27*D27</s:f>
        <s:v>149.38271604938288</s:v>
      </s:c>
      <s:c r="F27" s="19">
        <s:f>E27*B27</s:f>
        <s:v>19.36442615454963</s:v>
      </s:c>
    </s:row>
    <s:row r="28">
      <s:c r="B28" s="18">
        <s:f>B11/$B$19</s:f>
        <s:v>0.1388888888888889</s:v>
      </s:c>
      <s:c r="C28" s="16">
        <s:f>B11*C11</s:f>
        <s:v>1425</s:v>
      </s:c>
      <s:c r="D28" s="19">
        <s:f>C11-$I$11</s:f>
        <s:v>-2.2222222222222285</s:v>
      </s:c>
      <s:c r="E28" s="19">
        <s:f>D28*D28</s:f>
        <s:v>4.9382716049382998</s:v>
      </s:c>
      <s:c r="F28" s="19">
        <s:f>E28*B28</s:f>
        <s:v>0.68587105624143052</s:v>
      </s:c>
    </s:row>
    <s:row r="29">
      <s:c r="B29" s="18">
        <s:f>B12/$B$19</s:f>
        <s:v>0.12037037037037036</s:v>
      </s:c>
      <s:c r="C29" s="16">
        <s:f>B12*C12</s:f>
        <s:v>1365</s:v>
      </s:c>
      <s:c r="D29" s="19">
        <s:f>C12-$I$11</s:f>
        <s:v>7.7777777777777715</s:v>
      </s:c>
      <s:c r="E29" s="19">
        <s:f>D29*D29</s:f>
        <s:v>60.49382716049373</s:v>
      </s:c>
      <s:c r="F29" s="19">
        <s:f>E29*B29</s:f>
        <s:v>7.2816643804298007</s:v>
      </s:c>
    </s:row>
    <s:row r="30">
      <s:c r="B30" s="18">
        <s:f>B13/$B$19</s:f>
        <s:v>0.10185185185185185</s:v>
      </s:c>
      <s:c r="C30" s="16">
        <s:f>B13*C13</s:f>
        <s:v>1265</s:v>
      </s:c>
      <s:c r="D30" s="19">
        <s:f>C13-$I$11</s:f>
        <s:v>17.777777777777771</s:v>
      </s:c>
      <s:c r="E30" s="19">
        <s:f>D30*D30</s:f>
        <s:v>316.04938271604914</s:v>
      </s:c>
      <s:c r="F30" s="19">
        <s:f>E30*B30</s:f>
        <s:v>32.190214906264259</s:v>
      </s:c>
    </s:row>
    <s:row r="31">
      <s:c r="B31" s="18">
        <s:f>B14/$B$19</s:f>
        <s:v>7.407407407407407E-2</s:v>
      </s:c>
      <s:c r="C31" s="16">
        <s:f>B14*C14</s:f>
        <s:v>1000</s:v>
      </s:c>
      <s:c r="D31" s="19">
        <s:f>C14-$I$11</s:f>
        <s:v>27.777777777777771</s:v>
      </s:c>
      <s:c r="E31" s="19">
        <s:f>D31*D31</s:f>
        <s:v>771.60493827160462</s:v>
      </s:c>
      <s:c r="F31" s="19">
        <s:f>E31*B31</s:f>
        <s:v>57.155921353452193</s:v>
      </s:c>
    </s:row>
    <s:row r="32">
      <s:c r="B32" s="18">
        <s:f>B15/$B$19</s:f>
        <s:v>5.5555555555555552E-2</s:v>
      </s:c>
      <s:c r="C32" s="16">
        <s:f>B15*C15</s:f>
        <s:v>810</s:v>
      </s:c>
      <s:c r="D32" s="19">
        <s:f>C15-$I$11</s:f>
        <s:v>37.777777777777771</s:v>
      </s:c>
      <s:c r="E32" s="19">
        <s:f>D32*D32</s:f>
        <s:v>1427.1604938271601</s:v>
      </s:c>
      <s:c r="F32" s="19">
        <s:f>E32*B32</s:f>
        <s:v>79.286694101508886</s:v>
      </s:c>
    </s:row>
    <s:row r="33">
      <s:c r="B33" s="18">
        <s:f>B16/$B$19</s:f>
        <s:v>4.6296296296296294E-2</s:v>
      </s:c>
      <s:c r="C33" s="16">
        <s:f>B16*C16</s:f>
        <s:v>725</s:v>
      </s:c>
      <s:c r="D33" s="19">
        <s:f>C16-$I$11</s:f>
        <s:v>47.777777777777771</s:v>
      </s:c>
      <s:c r="E33" s="19">
        <s:f>D33*D33</s:f>
        <s:v>2282.7160493827155</s:v>
      </s:c>
      <s:c r="F33" s="19">
        <s:f>E33*B33</s:f>
        <s:v>105.68129858253312</s:v>
      </s:c>
    </s:row>
    <s:row r="34">
      <s:c r="B34" s="18">
        <s:f>B17/$B$19</s:f>
        <s:v>2.7777777777777776E-2</s:v>
      </s:c>
      <s:c r="C34" s="16">
        <s:f>B17*C17</s:f>
        <s:v>465</s:v>
      </s:c>
      <s:c r="D34" s="19">
        <s:f>C17-$I$11</s:f>
        <s:v>57.777777777777771</s:v>
      </s:c>
      <s:c r="E34" s="19">
        <s:f>D34*D34</s:f>
        <s:v>3338.2716049382707</s:v>
      </s:c>
      <s:c r="F34" s="19">
        <s:f>E34*B34</s:f>
        <s:v>92.729766803840846</s:v>
      </s:c>
    </s:row>
    <s:row r="35">
      <s:c r="B35" s="18">
        <s:f>B18/$B$19</s:f>
        <s:v>1.8518518518518517E-2</s:v>
      </s:c>
      <s:c r="C35" s="16">
        <s:f>B18*C18</s:f>
        <s:v>330</s:v>
      </s:c>
      <s:c r="D35" s="19">
        <s:f>C18-$I$11</s:f>
        <s:v>67.777777777777771</s:v>
      </s:c>
      <s:c r="E35" s="19">
        <s:f>D35*D35</s:f>
        <s:v>4593.8271604938263</s:v>
      </s:c>
      <s:c r="F35" s="19">
        <s:f>E35*B35</s:f>
        <s:v>85.070873342478265</s:v>
      </s:c>
    </s:row>
    <s:row r="36">
      <s:c r="A36" s="3" t="s">
        <s:v>24</s:v>
      </s:c>
      <s:c r="B36" s="20">
        <s:f>SUM(B22:B35)</s:f>
        <s:v>1</s:v>
      </s:c>
      <s:c r="C36" s="16">
        <s:f>SUM(C22:C35)</s:f>
        <s:v>10500</s:v>
      </s:c>
      <s:c r="D36" s="16"/>
      <s:c r="E36" s="16"/>
      <s:c r="F36" s="19">
        <s:f>SUM(F22:F35)</s:f>
        <s:v>878.39506172839515</s:v>
      </s:c>
    </s:row>
    <s:row r="39" spans="1:6" ht="67.5" customHeight="1">
      <s:c r="A39" s="6" t="s">
        <s:v>1</s:v>
      </s:c>
      <s:c r="B39" s="6" t="s">
        <s:v>30</s:v>
      </s:c>
      <s:c r="C39" s="6" t="s">
        <s:v>31</s:v>
      </s:c>
      <s:c r="D39" s="6" t="s">
        <s:v>32</s:v>
      </s:c>
      <s:c r="E39" s="6" t="s">
        <s:v>33</s:v>
      </s:c>
      <s:c r="F39" s="6" t="s">
        <s:v>34</s:v>
      </s:c>
    </s:row>
    <s:row r="40">
      <s:c r="A40" s="12" t="s">
        <s:v>4</s:v>
      </s:c>
      <s:c r="B40" s="12" t="s">
        <s:v>35</s:v>
      </s:c>
      <s:c r="C40" s="12" t="s">
        <s:v>36</s:v>
      </s:c>
      <s:c r="D40" s="12" t="s">
        <s:v>37</s:v>
      </s:c>
      <s:c r="E40" s="12" t="s">
        <s:v>38</s:v>
      </s:c>
      <s:c r="F40" s="12" t="s">
        <s:v>39</s:v>
      </s:c>
    </s:row>
    <s:row r="41">
      <s:c r="A41" s="12" t="s">
        <s:v>5</s:v>
      </s:c>
      <s:c r="B41" s="12">
        <s:v>2</s:v>
      </s:c>
      <s:c r="C41" s="13">
        <s:f>F5</s:f>
        <s:v>1.6048268210719354</s:v>
      </s:c>
      <s:c r="D41" s="13">
        <s:f>B41</s:f>
        <s:v>2</s:v>
      </s:c>
      <s:c r="E41" s="13">
        <s:f>C41</s:f>
        <s:v>1.6048268210719354</s:v>
      </s:c>
      <s:c r="F41" s="13">
        <s:f>D41-E41</s:f>
        <s:v>0.39517317892806458</s:v>
      </s:c>
    </s:row>
    <s:row r="42">
      <s:c r="A42" s="12" t="s">
        <s:v>8</s:v>
      </s:c>
      <s:c r="B42" s="12">
        <s:v>4</s:v>
      </s:c>
      <s:c r="C42" s="13">
        <s:f>F6</s:f>
        <s:v>3.0784827405681656</s:v>
      </s:c>
      <s:c r="D42" s="13">
        <s:f>D41+B42</s:f>
        <s:v>6</s:v>
      </s:c>
      <s:c r="E42" s="13">
        <s:f>E41+C42</s:f>
        <s:v>4.683309561640101</s:v>
      </s:c>
      <s:c r="F42" s="13">
        <s:f>D42-E42</s:f>
        <s:v>1.316690438359899</s:v>
      </s:c>
    </s:row>
    <s:row r="43">
      <s:c r="A43" s="12" t="s">
        <s:v>9</s:v>
      </s:c>
      <s:c r="B43" s="12">
        <s:v>6</s:v>
      </s:c>
      <s:c r="C43" s="13">
        <s:f>F7</s:f>
        <s:v>5.2699311725828686</s:v>
      </s:c>
      <s:c r="D43" s="13">
        <s:f>D42+B43</s:f>
        <s:v>12</s:v>
      </s:c>
      <s:c r="E43" s="13">
        <s:f>E42+C43</s:f>
        <s:v>9.9532407342229696</s:v>
      </s:c>
      <s:c r="F43" s="13">
        <s:f>D43-E43</s:f>
        <s:v>2.0467592657770304</s:v>
      </s:c>
    </s:row>
    <s:row r="44">
      <s:c r="A44" s="12" t="s">
        <s:v>11</s:v>
      </s:c>
      <s:c r="B44" s="12">
        <s:v>8</s:v>
      </s:c>
      <s:c r="C44" s="13">
        <s:f>F8</s:f>
        <s:v>8.050685000932063</s:v>
      </s:c>
      <s:c r="D44" s="13">
        <s:f>D43+B44</s:f>
        <s:v>20</s:v>
      </s:c>
      <s:c r="E44" s="13">
        <s:f>E43+C44</s:f>
        <s:v>18.003925735155033</s:v>
      </s:c>
      <s:c r="F44" s="13">
        <s:f>D44-E44</s:f>
        <s:v>1.9960742648449674</s:v>
      </s:c>
    </s:row>
    <s:row r="45">
      <s:c r="A45" s="12" t="s">
        <s:v>12</s:v>
      </s:c>
      <s:c r="B45" s="12">
        <s:v>11</s:v>
      </s:c>
      <s:c r="C45" s="13">
        <s:f>F9</s:f>
        <s:v>10.975400995634978</s:v>
      </s:c>
      <s:c r="D45" s="13">
        <s:f>D44+B45</s:f>
        <s:v>31</s:v>
      </s:c>
      <s:c r="E45" s="13">
        <s:f>E44+C45</s:f>
        <s:v>28.97932673079001</s:v>
      </s:c>
      <s:c r="F45" s="13">
        <s:f>D45-E45</s:f>
        <s:v>2.0206732692099898</s:v>
      </s:c>
    </s:row>
    <s:row r="46">
      <s:c r="A46" s="12" t="s">
        <s:v>13</s:v>
      </s:c>
      <s:c r="B46" s="12">
        <s:v>14</s:v>
      </s:c>
      <s:c r="C46" s="13">
        <s:f>F10</s:f>
        <s:v>13.352655052379454</s:v>
      </s:c>
      <s:c r="D46" s="13">
        <s:f>D45+B46</s:f>
        <s:v>45</s:v>
      </s:c>
      <s:c r="E46" s="13">
        <s:f>E45+C46</s:f>
        <s:v>42.331981783169468</s:v>
      </s:c>
      <s:c r="F46" s="13">
        <s:f>D46-E46</s:f>
        <s:v>2.6680182168305322</s:v>
      </s:c>
    </s:row>
    <s:row r="47">
      <s:c r="A47" s="12" t="s">
        <s:v>14</s:v>
      </s:c>
      <s:c r="B47" s="12">
        <s:v>15</s:v>
      </s:c>
      <s:c r="C47" s="13">
        <s:f>F11</s:f>
        <s:v>14.496879666429898</s:v>
      </s:c>
      <s:c r="D47" s="13">
        <s:f>D46+B47</s:f>
        <s:v>60</s:v>
      </s:c>
      <s:c r="E47" s="13">
        <s:f>E46+C47</s:f>
        <s:v>56.828861449599366</s:v>
      </s:c>
      <s:c r="F47" s="13">
        <s:f>D47-E47</s:f>
        <s:v>3.1711385504006344</s:v>
      </s:c>
    </s:row>
    <s:row r="48">
      <s:c r="A48" s="12" t="s">
        <s:v>16</s:v>
      </s:c>
      <s:c r="B48" s="12">
        <s:v>13</s:v>
      </s:c>
      <s:c r="C48" s="13">
        <s:f>F12</s:f>
        <s:v>14.045626298416508</s:v>
      </s:c>
      <s:c r="D48" s="13">
        <s:f>D47+B48</s:f>
        <s:v>73</s:v>
      </s:c>
      <s:c r="E48" s="13">
        <s:f>E47+C48</s:f>
        <s:v>70.874487748015866</s:v>
      </s:c>
      <s:c r="F48" s="13">
        <s:f>D48-E48</s:f>
        <s:v>2.1255122519841336</s:v>
      </s:c>
    </s:row>
    <s:row r="49">
      <s:c r="A49" s="12" t="s">
        <s:v>18</s:v>
      </s:c>
      <s:c r="B49" s="12">
        <s:v>11</s:v>
      </s:c>
      <s:c r="C49" s="13">
        <s:f>F13</s:f>
        <s:v>12.144156509109722</s:v>
      </s:c>
      <s:c r="D49" s="13">
        <s:f>D48+B49</s:f>
        <s:v>84</s:v>
      </s:c>
      <s:c r="E49" s="13">
        <s:f>E48+C49</s:f>
        <s:v>83.018644257125587</s:v>
      </s:c>
      <s:c r="F49" s="13">
        <s:f>D49-E49</s:f>
        <s:v>0.98135574287441329</s:v>
      </s:c>
    </s:row>
    <s:row r="50">
      <s:c r="A50" s="12" t="s">
        <s:v>19</s:v>
      </s:c>
      <s:c r="B50" s="12">
        <s:v>8</s:v>
      </s:c>
      <s:c r="C50" s="13">
        <s:f>F14</s:f>
        <s:v>9.370295198398205</s:v>
      </s:c>
      <s:c r="D50" s="13">
        <s:f>D49+B50</s:f>
        <s:v>92</s:v>
      </s:c>
      <s:c r="E50" s="13">
        <s:f>E49+C50</s:f>
        <s:v>92.388939455523797</s:v>
      </s:c>
      <s:c r="F50" s="13">
        <s:f>D50-E50</s:f>
        <s:v>-0.38893945552379705</s:v>
      </s:c>
    </s:row>
    <s:row r="51">
      <s:c r="A51" s="12" t="s">
        <s:v>20</s:v>
      </s:c>
      <s:c r="B51" s="12">
        <s:v>6</s:v>
      </s:c>
      <s:c r="C51" s="13">
        <s:f>F15</s:f>
        <s:v>6.4520668927256857</s:v>
      </s:c>
      <s:c r="D51" s="13">
        <s:f>D50+B51</s:f>
        <s:v>98</s:v>
      </s:c>
      <s:c r="E51" s="13">
        <s:f>E50+C51</s:f>
        <s:v>98.841006348249479</s:v>
      </s:c>
      <s:c r="F51" s="13">
        <s:f>D51-E51</s:f>
        <s:v>-0.84100634824947917</s:v>
      </s:c>
    </s:row>
    <s:row r="52">
      <s:c r="A52" s="12" t="s">
        <s:v>21</s:v>
      </s:c>
      <s:c r="B52" s="12">
        <s:v>5</s:v>
      </s:c>
      <s:c r="C52" s="13">
        <s:f>F16</s:f>
        <s:v>3.9646433086969477</s:v>
      </s:c>
      <s:c r="D52" s="13">
        <s:f>D51+B52</s:f>
        <s:v>103</s:v>
      </s:c>
      <s:c r="E52" s="13">
        <s:f>E51+C52</s:f>
        <s:v>102.80564965694643</s:v>
      </s:c>
      <s:c r="F52" s="13">
        <s:f>D52-E52</s:f>
        <s:v>0.19435034305357135</s:v>
      </s:c>
    </s:row>
    <s:row r="53">
      <s:c r="A53" s="12" t="s">
        <s:v>22</s:v>
      </s:c>
      <s:c r="B53" s="12">
        <s:v>3</s:v>
      </s:c>
      <s:c r="C53" s="13">
        <s:f>F17</s:f>
        <s:v>2.1740476132989235</s:v>
      </s:c>
      <s:c r="D53" s="13">
        <s:f>D52+B53</s:f>
        <s:v>106</s:v>
      </s:c>
      <s:c r="E53" s="13">
        <s:f>E52+C53</s:f>
        <s:v>104.97969727024535</s:v>
      </s:c>
      <s:c r="F53" s="13">
        <s:f>D53-E53</s:f>
        <s:v>1.020302729754647</s:v>
      </s:c>
    </s:row>
    <s:row r="54">
      <s:c r="A54" s="12" t="s">
        <s:v>23</s:v>
      </s:c>
      <s:c r="B54" s="12">
        <s:v>2</s:v>
      </s:c>
      <s:c r="C54" s="13">
        <s:f>F18</s:f>
        <s:v>1.0638824695486797</s:v>
      </s:c>
      <s:c r="D54" s="13">
        <s:f>D53+B54</s:f>
        <s:v>108</s:v>
      </s:c>
      <s:c r="E54" s="13">
        <s:f>E53+C54</s:f>
        <s:v>106.04357973979403</s:v>
      </s:c>
      <s:c r="F54" s="13">
        <s:f>D54-E54</s:f>
        <s:v>1.9564202602059737</s:v>
      </s:c>
    </s:row>
    <s:row r="55">
      <s:c r="A55" s="3" t="s">
        <s:v>24</s:v>
      </s:c>
      <s:c r="B55" s="16">
        <s:f>SUM(B41:B54)</s:f>
        <s:v>108</s:v>
      </s:c>
      <s:c r="C55" s="17">
        <s:f>SUM(C41:C54)</s:f>
        <s:v>106.04357973979403</s:v>
      </s:c>
      <s:c r="D55" s="17"/>
      <s:c r="E55" s="17"/>
      <s:c r="F55" s="17"/>
    </s:row>
    <s:row r="57">
      <s:c r="A57" s="10" t="s">
        <s:v>40</s:v>
      </s:c>
    </s:row>
    <s:row r="58">
      <s:c r="A58" s="21">
        <s:f>MAX(F41:F54)</s:f>
        <s:v>3.1711385504006344</s:v>
      </s:c>
    </s:row>
    <s:row r="60">
      <s:c r="A60" s="10" t="s">
        <s:v>41</s:v>
      </s:c>
    </s:row>
    <s:row r="61" spans="1:6" ht="30" customHeight="1">
      <s:c r="A61" s="23">
        <s:f>A58/SQRT(B55)</s:f>
        <s:v>0.30514294928523433</s:v>
      </s:c>
      <s:c r="B61" s="24" t="s">
        <s:v>42</s:v>
      </s:c>
      <s:c r="C61" s="25"/>
      <s:c r="D61" s="25"/>
      <s:c r="E61" s="25"/>
      <s:c r="F61" s="25"/>
    </s:row>
  </s:sheetData>
  <s:mergeCells count="2">
    <s:mergeCell ref="A1:F1"/>
    <s:mergeCell ref="B61:F61"/>
  </s:mergeCells>
  <s:pageMargins left="0.7" right="0.7" top="0.75" bottom="0.75" header="0.3" footer="0.3"/>
  <s:drawing r:id="rId1"/>
</s:worksheet>
</file>

<file path=docProps/app.xml><?xml version="1.0" encoding="utf-8"?>
<ep:Properties xmlns:ep="http://schemas.openxmlformats.org/officeDocument/2006/extended-properties">
  <ep:Application>Microsoft Excel Online</ep:Application>
  <ep:Manager/>
  <ep:Company/>
  <ep:HyperlinkBase/>
  <ep:AppVersion>16.0300</ep:AppVersion>
</ep:Properties>
</file>

<file path=docProps/core.xml><?xml version="1.0" encoding="utf-8"?>
<cp:coreProperties xmlns:cp="http://schemas.openxmlformats.org/package/2006/metadata/core-properties" xmlns:xsi="http://www.w3.org/2001/XMLSchema-instance" xmlns:dc="http://purl.org/dc/elements/1.1/" xmlns:dcterms="http://purl.org/dc/terms/">
  <dc:title/>
  <dc:subject/>
  <dc:creator/>
  <cp:keywords/>
  <dc:description/>
  <cp:lastModifiedBy/>
  <cp:revision/>
  <dcterms:created xsi:type="dcterms:W3CDTF">2025-12-29T18:10:51Z</dcterms:created>
  <dcterms:modified xsi:type="dcterms:W3CDTF">2025-12-29T19:05:33Z</dcterms:modified>
  <cp:category/>
  <cp:contentStatus/>
</cp:coreProperties>
</file>