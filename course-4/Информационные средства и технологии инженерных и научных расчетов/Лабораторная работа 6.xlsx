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unk2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mc:Ignorable="unk1 xr xr6 xr10 xr2">
  <s:fileVersion appName="xl" lastEdited="7" lowestEdited="4" rupBuild="29622"/>
  <s:workbookPr/>
  <s:bookViews>
    <s:workbookView xr2:uid="{00000000-000D-0000-FFFF-FFFF00000000}" xWindow="240" yWindow="105" windowWidth="14805" windowHeight="8010"/>
  </s:bookViews>
  <s:sheets>
    <s:sheet name="Лист1" sheetId="1" state="visible" r:id="rId1"/>
  </s:sheets>
  <s:calcPr calcId="191028"/>
  <s:extLst>
    <s:ext uri="{140A7094-0E35-4892-8432-C4D2E57EDEB5}">
      <unk1:workbookPr chartTrackingRefBase="1"/>
    </s:ex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sharedStrings.xml><?xml version="1.0" encoding="utf-8"?>
<s:sst xmlns:s="http://schemas.openxmlformats.org/spreadsheetml/2006/main" count="92" uniqueCount="76">
  <s:si>
    <s:t>ЗАДАЧА 1</s:t>
  </s:si>
  <s:si>
    <s:t>Результаты выборочного наблюдения уровня заработной платы</s:t>
  </s:si>
  <s:si>
    <s:t>Результаты наблюдения</s:t>
  </s:si>
  <s:si>
    <s:t>Расчет показателей</s:t>
  </s:si>
  <s:si>
    <s:t>Уровень ЗП, тыс. руб</s:t>
  </s:si>
  <s:si>
    <s:t>Численность работников</s:t>
  </s:si>
  <s:si>
    <s:t>Средний уровень ЗП в группе</s:t>
  </s:si>
  <s:si>
    <s:t>Xср*f</s:t>
  </s:si>
  <s:si>
    <s:t>Xср^2</s:t>
  </s:si>
  <s:si>
    <s:t>Xср^2*f</s:t>
  </s:si>
  <s:si>
    <s:t>f</s:t>
  </s:si>
  <s:si>
    <s:t>Xср</s:t>
  </s:si>
  <s:si>
    <s:t>до 9,0</s:t>
  </s:si>
  <s:si>
    <s:t>9,0-10,0</s:t>
  </s:si>
  <s:si>
    <s:t>10,0-10,5</s:t>
  </s:si>
  <s:si>
    <s:t>10,5-11,0</s:t>
  </s:si>
  <s:si>
    <s:t>свыше 11,0</s:t>
  </s:si>
  <s:si>
    <s:t>Итого</s:t>
  </s:si>
  <s:si>
    <s:t>N</s:t>
  </s:si>
  <s:si>
    <s:t>n</s:t>
  </s:si>
  <s:si>
    <s:t>2. Дисперсия признака в выборочной совокупности</s:t>
  </s:si>
  <s:si>
    <s:t>3. Величина средней ошибки m</s:t>
  </s:si>
  <s:si>
    <s:t>4. Коэффициент доверия</s:t>
  </s:si>
  <s:si>
    <s:t>если P = 0,683</s:t>
  </s:si>
  <s:si>
    <s:t xml:space="preserve">-&gt; t = </s:t>
  </s:si>
  <s:si>
    <s:t>если P = 0,997</s:t>
  </s:si>
  <s:si>
    <s:t>5. Предельная ошибка</s:t>
  </s:si>
  <s:si>
    <s:t>если t=1</s:t>
  </s:si>
  <s:si>
    <s:t>если t=3</s:t>
  </s:si>
  <s:si>
    <s:t>6. Доверительные границы для среднего уровня ЗП в генеральной совокупности</s:t>
  </s:si>
  <s:si>
    <s:t>10,28-0,052 &lt;= Xср &lt;= 10,28+0,052</s:t>
  </s:si>
  <s:si>
    <s:t>10,28 -0,156 &lt;= Xср &lt;= 10,28+0,156</s:t>
  </s:si>
  <s:si>
    <s:t>или 10,23 &lt;= Xср &lt;= 10,33</s:t>
  </s:si>
  <s:si>
    <s:t>10,12 &lt;= Xср &lt;= 10,44</s:t>
  </s:si>
  <s:si>
    <s:t>ЗАДАЧА 2</s:t>
  </s:si>
  <s:si>
    <s:t>u</s:t>
  </s:si>
  <s:si>
    <s:t>1. Средняя ошибка выборочной доли</s:t>
  </s:si>
  <s:si>
    <s:t>2. Коэффициент доверия</s:t>
  </s:si>
  <s:si>
    <s:t>3. Предельная ошибка выборки</s:t>
  </s:si>
  <s:si>
    <s:t>4. Нижняя граница доли стандартной продукции в генеральной совокупности</s:t>
  </s:si>
  <s:si>
    <s:t>5. Верхняя граница доли стандартной продукции в генеральной совокупности</s:t>
  </s:si>
  <s:si>
    <s:t>ЗАДАЧА 3</s:t>
  </s:si>
  <s:si>
    <s:t>Вид вклада</s:t>
  </s:si>
  <s:si>
    <s:t>Число вкладов</s:t>
  </s:si>
  <s:si>
    <s:t>Средний размер вклада, руб.</s:t>
  </s:si>
  <s:si>
    <s:t>Численность выборки</s:t>
  </s:si>
  <s:si>
    <s:t>Выборочные дисперсии</s:t>
  </s:si>
  <s:si>
    <s:t>X*n</s:t>
  </s:si>
  <s:si>
    <s:t>дисп*n</s:t>
  </s:si>
  <s:si>
    <s:t>X</s:t>
  </s:si>
  <s:si>
    <s:t>до востребования</s:t>
  </s:si>
  <s:si>
    <s:t>срочные</s:t>
  </s:si>
  <s:si>
    <s:t>1. Средний размер вклада в выборочной совокупности</s:t>
  </s:si>
  <s:si>
    <s:t>2. Средняя из внутригрупповых дисперсий</s:t>
  </s:si>
  <s:si>
    <s:t>3. Средняя ошибка выборочной средней при типической выборке</s:t>
  </s:si>
  <s:si>
    <s:t>4. Предельная ошибка выборки с вероятностью 0,683 (t=1)</s:t>
  </s:si>
  <s:si>
    <s:t>5. Доверительные границы для среднего размера вклада в генеральной совокупности</s:t>
  </s:si>
  <s:si>
    <s:t>1680,4-  5,07 &lt;= Xср &lt;= 1680,4 + 5,07</s:t>
  </s:si>
  <s:si>
    <s:t>или 1675,33 &lt;= Xср &lt;= 1685,47</s:t>
  </s:si>
  <s:si>
    <s:t>ЗАДАЧА 4</s:t>
  </s:si>
  <s:si>
    <s:t>Предельная ошибка</s:t>
  </s:si>
  <s:si>
    <s:t>P</s:t>
  </s:si>
  <s:si>
    <s:t>1. Коэффициент доверия</s:t>
  </s:si>
  <s:si>
    <s:t>2. Величина средней ошибки</s:t>
  </s:si>
  <s:si>
    <s:t>0,1=2m -&gt; m=</s:t>
  </s:si>
  <s:si>
    <s:t>3. Величина дисперсии</s:t>
  </s:si>
  <s:si>
    <s:t>4. Численность выборки</s:t>
  </s:si>
  <s:si>
    <s:t>ЗАДАЧА 5</s:t>
  </s:si>
  <s:si>
    <s:t>-&gt; t =</s:t>
  </s:si>
  <s:si>
    <s:t>Ср. квад. откл.</s:t>
  </s:si>
  <s:si>
    <s:t>Численность выборочной совокупности</s:t>
  </s:si>
  <s:si>
    <s:t>ЗАДАЧА 6</s:t>
  </s:si>
  <s:si>
    <s:t>дисперсия</s:t>
  </s:si>
  <s:si>
    <s:t>1. Величина стандартной ошибки выборки</s:t>
  </s:si>
  <s:si>
    <s:t>0,1 = t * 0,06382</s:t>
  </s:si>
  <s:si>
    <s:t>3. Вероятность</s:t>
  </s:si>
</s:sst>
</file>

<file path=xl/styles.xml><?xml version="1.0" encoding="utf-8"?>
<s:styleSheet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mc:Ignorable="x14ac x16r2 xr">
  <s:numFmts count="4">
    <s:numFmt numFmtId="164" formatCode="0.000"/>
    <s:numFmt numFmtId="168" formatCode="0.00000"/>
    <s:numFmt numFmtId="169" formatCode="0.0000"/>
    <s:numFmt numFmtId="170" formatCode="0.0"/>
  </s:numFmts>
  <s:fonts count="3">
    <s:font>
      <s:name val="Aptos Narrow"/>
      <s:family val="2"/>
      <s:color theme="1"/>
      <s:sz val="11"/>
      <s:scheme val="minor"/>
    </s:font>
    <s:font>
      <s:name val="Aptos Narrow"/>
      <s:family val="2"/>
      <s:b val="1"/>
      <s:color theme="1"/>
      <s:sz val="11"/>
      <s:scheme val="minor"/>
    </s:font>
    <s:font>
      <s:name val="Aptos Narrow"/>
      <s:charset val="1"/>
      <s:color rgb="FF242424"/>
      <s:sz val="11"/>
    </s:font>
  </s:fonts>
  <s:fills count="8">
    <s:fill>
      <s:patternFill patternType="none"/>
    </s:fill>
    <s:fill>
      <s:patternFill patternType="gray125"/>
    </s:fill>
    <s:fill>
      <s:patternFill patternType="solid">
        <s:fgColor theme="8" tint="0.8"/>
        <s:bgColor indexed="64"/>
      </s:patternFill>
    </s:fill>
    <s:fill>
      <s:patternFill patternType="solid">
        <s:fgColor theme="7" tint="0.8"/>
        <s:bgColor indexed="64"/>
      </s:patternFill>
    </s:fill>
    <s:fill>
      <s:patternFill patternType="solid">
        <s:fgColor theme="6" tint="0.6"/>
        <s:bgColor indexed="64"/>
      </s:patternFill>
    </s:fill>
    <s:fill>
      <s:patternFill patternType="solid">
        <s:fgColor theme="6" tint="0.8"/>
        <s:bgColor indexed="64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theme="9" tint="0.8"/>
        <s:bgColor indexed="64"/>
      </s:patternFill>
    </s:fill>
  </s:fills>
  <s:borders count="6">
    <s:border>
      <s:left/>
      <s:right/>
      <s:top/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  <s:diagonal/>
    </s:border>
    <s:border>
      <s:left/>
      <s:right/>
      <s:top style="thin">
        <s:color rgb="FF000000"/>
      </s:top>
      <s:bottom/>
      <s:diagonal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  <s:diagonal/>
    </s:border>
    <s:border>
      <s:left style="thin">
        <s:color rgb="FF000000"/>
      </s:left>
      <s:right/>
      <s:top/>
      <s:bottom/>
      <s:diagonal/>
    </s:border>
  </s:borders>
  <s:cellStyleXfs count="1">
    <s:xf numFmtId="0" fontId="0" fillId="0" borderId="0"/>
  </s:cellStyleXfs>
  <s:cellXfs count="39">
    <s:xf numFmtId="0" fontId="0" fillId="0" borderId="0" xfId="0"/>
    <s:xf numFmtId="0" fontId="0" fillId="0" borderId="0" xfId="0" applyAlignment="1">
      <s:alignment horizontal="center" mc:Ignorable="vyd"/>
    </s:xf>
    <s:xf numFmtId="0" fontId="0" fillId="0" borderId="0" xfId="0" applyAlignment="1">
      <s:alignment horizontal="left" mc:Ignorable="vyd"/>
    </s:xf>
    <s:xf numFmtId="0" fontId="1" fillId="0" borderId="0" xfId="0" applyFont="1" applyAlignment="1">
      <s:alignment horizontal="left" mc:Ignorable="vyd"/>
    </s:xf>
    <s:xf numFmtId="0" fontId="0" fillId="0" borderId="0" xfId="0" applyAlignment="1">
      <s:alignment wrapText="1" mc:Ignorable="vyd"/>
    </s:xf>
    <s:xf numFmtId="0" fontId="0" fillId="0" borderId="1" xfId="0" applyBorder="1"/>
    <s:xf numFmtId="0" fontId="1" fillId="2" borderId="1" xfId="0" applyFont="1" applyFill="1" applyBorder="1" applyAlignment="1">
      <s:alignment horizontal="center" mc:Ignorable="vyd"/>
    </s:xf>
    <s:xf numFmtId="0" fontId="1" fillId="3" borderId="1" xfId="0" applyFont="1" applyFill="1" applyBorder="1" applyAlignment="1">
      <s:alignment horizontal="center" vertical="center" wrapText="1" mc:Ignorable="vyd"/>
    </s:xf>
    <s:xf numFmtId="0" fontId="1" fillId="6" borderId="1" xfId="0" applyFont="1" applyFill="1" applyBorder="1" applyAlignment="1">
      <s:alignment horizontal="center" vertical="center" mc:Ignorable="vyd"/>
    </s:xf>
    <s:xf numFmtId="0" fontId="1" fillId="3" borderId="1" xfId="0" applyFont="1" applyFill="1" applyBorder="1" applyAlignment="1">
      <s:alignment horizontal="center" vertical="center" mc:Ignorable="vyd"/>
    </s:xf>
    <s:xf numFmtId="0" fontId="1" fillId="4" borderId="1" xfId="0" applyFont="1" applyFill="1" applyBorder="1" applyAlignment="1">
      <s:alignment horizontal="center" vertical="center" wrapText="1" mc:Ignorable="vyd"/>
    </s:xf>
    <s:xf numFmtId="0" fontId="1" fillId="5" borderId="1" xfId="0" applyFont="1" applyFill="1" applyBorder="1" applyAlignment="1">
      <s:alignment horizontal="center" vertical="center" mc:Ignorable="vyd"/>
    </s:xf>
    <s:xf numFmtId="0" fontId="1" fillId="7" borderId="1" xfId="0" applyFont="1" applyFill="1" applyBorder="1" applyAlignment="1">
      <s:alignment horizontal="right" mc:Ignorable="vyd"/>
    </s:xf>
    <s:xf numFmtId="164" fontId="0" fillId="0" borderId="0" xfId="0" applyNumberFormat="1"/>
    <s:xf numFmtId="2" fontId="0" fillId="0" borderId="0" xfId="0" applyNumberFormat="1"/>
    <s:xf numFmtId="168" fontId="0" fillId="0" borderId="0" xfId="0" applyNumberFormat="1"/>
    <s:xf numFmtId="169" fontId="0" fillId="0" borderId="0" xfId="0" applyNumberFormat="1"/>
    <s:xf numFmtId="0" fontId="0" fillId="0" borderId="0" xfId="0" applyAlignment="1">
      <s:alignment horizontal="right" mc:Ignorable="vyd"/>
    </s:xf>
    <s:xf numFmtId="0" fontId="1" fillId="7" borderId="2" xfId="0" applyFont="1" applyFill="1" applyBorder="1" applyAlignment="1">
      <s:alignment horizontal="right" mc:Ignorable="vyd"/>
    </s:xf>
    <s:xf numFmtId="0" fontId="0" fillId="0" borderId="2" xfId="0" applyBorder="1"/>
    <s:xf numFmtId="0" fontId="2" fillId="0" borderId="0" xfId="0" applyFont="1" applyAlignment="1">
      <s:alignment horizontal="left" mc:Ignorable="vyd"/>
    </s:xf>
    <s:xf numFmtId="0" fontId="0" fillId="0" borderId="3" xfId="0" applyFill="1" applyBorder="1"/>
    <s:xf numFmtId="0" fontId="1" fillId="0" borderId="0" xfId="0" applyFont="1"/>
    <s:xf numFmtId="0" fontId="1" fillId="0" borderId="0" xfId="0" applyFont="1" applyAlignment="1"/>
    <s:xf numFmtId="0" fontId="0" fillId="0" borderId="0" xfId="0" applyFont="1" applyAlignment="1"/>
    <s:xf numFmtId="0" fontId="0" fillId="0" borderId="1" xfId="0" applyFont="1" applyBorder="1"/>
    <s:xf numFmtId="0" fontId="1" fillId="7" borderId="4" xfId="0" applyFont="1" applyFill="1" applyBorder="1" applyAlignment="1">
      <s:alignment horizontal="right" mc:Ignorable="vyd"/>
    </s:xf>
    <s:xf numFmtId="0" fontId="0" fillId="0" borderId="4" xfId="0" applyBorder="1"/>
    <s:xf numFmtId="10" fontId="0" fillId="0" borderId="0" xfId="0" applyNumberFormat="1"/>
    <s:xf numFmtId="0" fontId="1" fillId="0" borderId="1" xfId="0" applyFont="1" applyBorder="1" applyAlignment="1">
      <s:alignment horizontal="center" vertical="center" mc:Ignorable="vyd"/>
    </s:xf>
    <s:xf numFmtId="0" fontId="1" fillId="0" borderId="1" xfId="0" applyFont="1" applyBorder="1" applyAlignment="1">
      <s:alignment horizontal="center" vertical="center" wrapText="1" mc:Ignorable="vyd"/>
    </s:xf>
    <s:xf numFmtId="0" fontId="1" fillId="0" borderId="1" xfId="0" applyFont="1" applyBorder="1" applyAlignment="1">
      <s:alignment horizontal="center" vertical="center" mc:Ignorable="vyd"/>
    </s:xf>
    <s:xf numFmtId="0" fontId="0" fillId="0" borderId="1" xfId="0" applyBorder="1" applyAlignment="1">
      <s:alignment horizontal="center" vertical="center" wrapText="1" mc:Ignorable="vyd"/>
    </s:xf>
    <s:xf numFmtId="0" fontId="0" fillId="0" borderId="1" xfId="0" applyBorder="1" applyAlignment="1">
      <s:alignment horizontal="center" vertical="center" mc:Ignorable="vyd"/>
    </s:xf>
    <s:xf numFmtId="0" fontId="1" fillId="0" borderId="1" xfId="0" applyFont="1" applyBorder="1" applyAlignment="1">
      <s:alignment horizontal="right" vertical="center" mc:Ignorable="vyd"/>
    </s:xf>
    <s:xf numFmtId="0" fontId="0" fillId="0" borderId="5" xfId="0" applyBorder="1" applyAlignment="1">
      <s:alignment horizontal="center" mc:Ignorable="vyd"/>
    </s:xf>
    <s:xf numFmtId="0" fontId="1" fillId="7" borderId="1" xfId="0" applyFont="1" applyFill="1" applyBorder="1" applyAlignment="1">
      <s:alignment horizontal="right" wrapText="1" mc:Ignorable="vyd"/>
    </s:xf>
    <s:xf numFmtId="0" fontId="0" fillId="0" borderId="1" xfId="0" applyNumberFormat="1" applyBorder="1"/>
    <s:xf numFmtId="170" fontId="0" fillId="0" borderId="0" xfId="0" applyNumberFormat="1"/>
  </s:cellXfs>
  <s:cellStyles count="1">
    <s:cellStyle name="Обычный" xfId="0" builtinId="0"/>
  </s:cellStyles>
  <s:dxfs count="0"/>
  <s:tableStyles count="0" defaultTableStyle="TableStyleMedium2" defaultPivotStyle="PivotStyleMedium9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xmlns:thm15="http://schemas.microsoft.com/office/thememl/2012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Tfng" typeface="Ebrima"/>
      </a:majorFont>
      <a:minorFont>
        <a:latin typeface="Aptos Narrow" panose="02110004020202020204"/>
        <a:ea typeface=""/>
        <a:cs typeface="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000-000000000000}">
  <s:dimension ref="A1:I130"/>
  <s:sheetViews>
    <s:sheetView tabSelected="0" topLeftCell="A111" workbookViewId="0">
      <s:selection activeCell="A131" sqref="A131"/>
    </s:sheetView>
  </s:sheetViews>
  <s:sheetFormatPr defaultColWidth="10" defaultRowHeight="15"/>
  <s:cols>
    <s:col min="1" max="1" width="16.855" customWidth="1"/>
    <s:col min="2" max="2" width="14.285" customWidth="1"/>
    <s:col min="3" max="3" width="14.426" customWidth="1"/>
    <s:col min="4" max="4" width="13.57" customWidth="1"/>
    <s:col min="5" max="5" width="24" customWidth="1"/>
    <s:col min="6" max="6" width="10.285" customWidth="1"/>
    <s:col min="7" max="7" width="13.426" customWidth="1"/>
    <s:col min="8" max="8" width="12.57" customWidth="1"/>
    <s:col min="9" max="9" width="14.426" customWidth="1"/>
  </s:cols>
  <s:sheetData>
    <s:row r="1" spans="1:7">
      <s:c r="A1" s="22" t="s">
        <s:v>0</s:v>
      </s:c>
    </s:row>
    <s:row r="2" spans="1:7">
      <s:c r="A2" s="3" t="s">
        <s:v>1</s:v>
      </s:c>
      <s:c r="B2" s="3"/>
      <s:c r="C2" s="3"/>
      <s:c r="D2" s="3"/>
      <s:c r="E2" s="3"/>
      <s:c r="F2" s="3"/>
    </s:row>
    <s:row r="4" spans="1:7">
      <s:c r="A4" s="6" t="s">
        <s:v>2</s:v>
      </s:c>
      <s:c r="B4" s="6"/>
      <s:c r="C4" s="6" t="s">
        <s:v>3</s:v>
      </s:c>
      <s:c r="D4" s="6"/>
      <s:c r="E4" s="6"/>
      <s:c r="F4" s="6"/>
    </s:row>
    <s:row r="5" spans="1:7" ht="42.75" customHeight="1">
      <s:c r="A5" s="7" t="s">
        <s:v>4</s:v>
      </s:c>
      <s:c r="B5" s="10" t="s">
        <s:v>5</s:v>
      </s:c>
      <s:c r="C5" s="10" t="s">
        <s:v>6</s:v>
      </s:c>
      <s:c r="D5" s="8" t="s">
        <s:v>7</s:v>
      </s:c>
      <s:c r="E5" s="8" t="s">
        <s:v>8</s:v>
      </s:c>
      <s:c r="F5" s="8" t="s">
        <s:v>9</s:v>
      </s:c>
    </s:row>
    <s:row r="6" spans="1:7">
      <s:c r="A6" s="9"/>
      <s:c r="B6" s="11" t="s">
        <s:v>10</s:v>
      </s:c>
      <s:c r="C6" s="11" t="s">
        <s:v>11</s:v>
      </s:c>
      <s:c r="D6" s="8"/>
      <s:c r="E6" s="8"/>
      <s:c r="F6" s="8"/>
    </s:row>
    <s:row r="7" spans="1:7">
      <s:c r="A7" s="5" t="s">
        <s:v>12</s:v>
      </s:c>
      <s:c r="B7" s="5">
        <s:v>8</s:v>
      </s:c>
      <s:c r="C7" s="5">
        <s:f>(8+9)/2</s:f>
        <s:v>8.5</s:v>
      </s:c>
      <s:c r="D7" s="5">
        <s:f>C7*B7</s:f>
        <s:v>68</s:v>
      </s:c>
      <s:c r="E7" s="5">
        <s:f>C7*C7</s:f>
        <s:v>72.25</s:v>
      </s:c>
      <s:c r="F7" s="5">
        <s:f>E7*B7</s:f>
        <s:v>578</s:v>
      </s:c>
      <s:c r="G7" s="13"/>
    </s:row>
    <s:row r="8" spans="1:7">
      <s:c r="A8" s="5" t="s">
        <s:v>13</s:v>
      </s:c>
      <s:c r="B8" s="5">
        <s:v>22</s:v>
      </s:c>
      <s:c r="C8" s="5">
        <s:f>(9+10)/2</s:f>
        <s:v>9.5</s:v>
      </s:c>
      <s:c r="D8" s="5">
        <s:f validation_="true">C8*B8</s:f>
        <s:v>209</s:v>
      </s:c>
      <s:c r="E8" s="5">
        <s:f validation_="true">C8*C8</s:f>
        <s:v>90.25</s:v>
      </s:c>
      <s:c r="F8" s="5">
        <s:f validation_="true">E8*B8</s:f>
        <s:v>1985.5</s:v>
      </s:c>
      <s:c r="G8" s="13"/>
    </s:row>
    <s:row r="9" spans="1:7">
      <s:c r="A9" s="5" t="s">
        <s:v>14</s:v>
      </s:c>
      <s:c r="B9" s="5">
        <s:v>65</s:v>
      </s:c>
      <s:c r="C9" s="5">
        <s:f>(10+10.5)/2</s:f>
        <s:v>10.25</s:v>
      </s:c>
      <s:c r="D9" s="5">
        <s:f validation_="true">C9*B9</s:f>
        <s:v>666.25</s:v>
      </s:c>
      <s:c r="E9" s="5">
        <s:f validation_="true">C9*C9</s:f>
        <s:v>105.0625</s:v>
      </s:c>
      <s:c r="F9" s="5">
        <s:f validation_="true">E9*B9</s:f>
        <s:v>6829.0625</s:v>
      </s:c>
      <s:c r="G9" s="13"/>
    </s:row>
    <s:row r="10" spans="1:7">
      <s:c r="A10" s="5" t="s">
        <s:v>15</s:v>
      </s:c>
      <s:c r="B10" s="5">
        <s:v>40</s:v>
      </s:c>
      <s:c r="C10" s="5">
        <s:f>(10.5+11)/2</s:f>
        <s:v>10.75</s:v>
      </s:c>
      <s:c r="D10" s="5">
        <s:f validation_="true">C10*B10</s:f>
        <s:v>430</s:v>
      </s:c>
      <s:c r="E10" s="5">
        <s:f validation_="true">C10*C10</s:f>
        <s:v>115.5625</s:v>
      </s:c>
      <s:c r="F10" s="5">
        <s:f validation_="true">E10*B10</s:f>
        <s:v>4622.5</s:v>
      </s:c>
      <s:c r="G10" s="13"/>
    </s:row>
    <s:row r="11" spans="1:7">
      <s:c r="A11" s="5" t="s">
        <s:v>16</s:v>
      </s:c>
      <s:c r="B11" s="5">
        <s:v>15</s:v>
      </s:c>
      <s:c r="C11" s="5">
        <s:f>(11+11.5)/2</s:f>
        <s:v>11.25</s:v>
      </s:c>
      <s:c r="D11" s="5">
        <s:f validation_="true">C11*B11</s:f>
        <s:v>168.75</s:v>
      </s:c>
      <s:c r="E11" s="5">
        <s:f validation_="true">C11*C11</s:f>
        <s:v>126.5625</s:v>
      </s:c>
      <s:c r="F11" s="5">
        <s:f validation_="true">E11*B11</s:f>
        <s:v>1898.4375</s:v>
      </s:c>
      <s:c r="G11" s="13"/>
    </s:row>
    <s:row r="12" spans="1:7">
      <s:c r="A12" s="12" t="s">
        <s:v>17</s:v>
      </s:c>
      <s:c r="B12" s="5">
        <s:f>SUM(B7:B11)</s:f>
        <s:v>150</s:v>
      </s:c>
      <s:c r="C12" s="5"/>
      <s:c r="D12" s="5">
        <s:f>SUM(D7:D11)</s:f>
        <s:v>1542</s:v>
      </s:c>
      <s:c r="E12" s="5"/>
      <s:c r="F12" s="5">
        <s:f>SUM(F7:F11)</s:f>
        <s:v>15913.5</s:v>
      </s:c>
      <s:c r="G12" s="13"/>
    </s:row>
    <s:row r="14" spans="1:7">
      <s:c r="A14" s="18" t="s">
        <s:v>11</s:v>
      </s:c>
      <s:c r="B14" s="19">
        <s:f>D12/B12</s:f>
        <s:v>10.28</s:v>
      </s:c>
    </s:row>
    <s:row r="15" spans="1:7">
      <s:c r="A15" s="12" t="s">
        <s:v>18</s:v>
      </s:c>
      <s:c r="B15" s="5">
        <s:v>15000</s:v>
      </s:c>
    </s:row>
    <s:row r="16" spans="1:7">
      <s:c r="A16" s="18" t="s">
        <s:v>19</s:v>
      </s:c>
      <s:c r="B16" s="19">
        <s:v>150</s:v>
      </s:c>
    </s:row>
    <s:row r="17" spans="1:6">
      <s:c r="A17" s="21"/>
      <s:c r="B17" s="21"/>
    </s:row>
    <s:row r="19" spans="1:6">
      <s:c r="A19" s="3" t="s">
        <s:v>20</s:v>
      </s:c>
      <s:c r="B19" s="3"/>
      <s:c r="C19" s="3"/>
      <s:c r="D19" s="3"/>
    </s:row>
    <s:row r="20" spans="1:6">
      <s:c r="A20" s="14">
        <s:f>(F12/B12)-(B14*B14)</s:f>
        <s:v>0.41160000000002128</s:v>
      </s:c>
    </s:row>
    <s:row r="22" spans="1:6">
      <s:c r="A22" s="3" t="s">
        <s:v>21</s:v>
      </s:c>
      <s:c r="B22" s="3"/>
      <s:c r="C22" s="3"/>
      <s:c r="D22" s="3"/>
      <s:c r="E22" s="22"/>
      <s:c r="F22" s="22"/>
    </s:row>
    <s:row r="23" spans="1:6">
      <s:c r="A23" s="13">
        <s:f>SQRT(((A20)/(B16))*(1-(B16)/(B15)))</s:f>
        <s:v>5.2120629313162942E-2</s:v>
      </s:c>
    </s:row>
    <s:row r="25" spans="1:6">
      <s:c r="A25" s="3" t="s">
        <s:v>22</s:v>
      </s:c>
      <s:c r="B25" s="3"/>
      <s:c r="C25" s="3"/>
      <s:c r="D25" s="3"/>
    </s:row>
    <s:row r="26" spans="1:6" ht="15.75" customHeight="1">
      <s:c r="A26" s="4" t="s">
        <s:v>23</s:v>
      </s:c>
      <s:c r="B26" s="17" t="s">
        <s:v>24</s:v>
      </s:c>
      <s:c r="C26">
        <s:v>1</s:v>
      </s:c>
    </s:row>
    <s:row r="27" spans="1:6">
      <s:c r="A27" s="4" t="s">
        <s:v>25</s:v>
      </s:c>
      <s:c r="B27" s="17" t="s">
        <s:v>24</s:v>
      </s:c>
      <s:c r="C27">
        <s:v>3</s:v>
      </s:c>
    </s:row>
    <s:row r="29" spans="1:6">
      <s:c r="A29" s="3" t="s">
        <s:v>26</s:v>
      </s:c>
      <s:c r="B29" s="3"/>
    </s:row>
    <s:row r="30" spans="1:6">
      <s:c r="A30" t="s">
        <s:v>27</s:v>
      </s:c>
      <s:c r="B30" s="13">
        <s:f>C26*A23</s:f>
        <s:v>5.2120629313162942E-2</s:v>
      </s:c>
    </s:row>
    <s:row r="31" spans="1:6">
      <s:c r="A31" t="s">
        <s:v>28</s:v>
      </s:c>
      <s:c r="B31" s="13">
        <s:f>C27*A23</s:f>
        <s:v>0.15636188793948883</s:v>
      </s:c>
    </s:row>
    <s:row r="33" spans="1:9">
      <s:c r="A33" s="3" t="s">
        <s:v>29</s:v>
      </s:c>
      <s:c r="B33" s="3"/>
      <s:c r="C33" s="3"/>
      <s:c r="D33" s="3"/>
      <s:c r="E33" s="3"/>
      <s:c r="F33" s="3"/>
      <s:c r="G33" s="3"/>
      <s:c r="H33" s="3"/>
      <s:c r="I33" s="3"/>
    </s:row>
    <s:row r="34" spans="1:9" ht="16.5" customHeight="1">
      <s:c r="A34" s="4" t="s">
        <s:v>23</s:v>
      </s:c>
      <s:c r="D34" s="4" t="s">
        <s:v>25</s:v>
      </s:c>
    </s:row>
    <s:row r="35" spans="1:9">
      <s:c r="A35" s="2" t="s">
        <s:v>30</s:v>
      </s:c>
      <s:c r="B35" s="2"/>
      <s:c r="C35" s="2"/>
      <s:c r="D35" s="2" t="s">
        <s:v>31</s:v>
      </s:c>
      <s:c r="E35" s="2"/>
      <s:c r="F35" s="2"/>
    </s:row>
    <s:row r="36" spans="1:9">
      <s:c r="A36" s="2" t="s">
        <s:v>32</s:v>
      </s:c>
      <s:c r="B36" s="2"/>
      <s:c r="D36" s="20" t="s">
        <s:v>33</s:v>
      </s:c>
      <s:c r="E36" s="2"/>
    </s:row>
    <s:row r="38" spans="1:9">
      <s:c r="A38" s="24"/>
      <s:c r="B38" s="24"/>
      <s:c r="C38" s="24"/>
      <s:c r="D38" s="24"/>
    </s:row>
    <s:row r="39" spans="1:9">
      <s:c r="A39" s="23" t="s">
        <s:v>34</s:v>
      </s:c>
      <s:c r="B39" s="24"/>
      <s:c r="C39" s="24"/>
      <s:c r="D39" s="24"/>
    </s:row>
    <s:row r="40" spans="1:9">
      <s:c r="A40" s="24"/>
      <s:c r="B40" s="24"/>
      <s:c r="C40" s="24"/>
      <s:c r="D40" s="24"/>
    </s:row>
    <s:row r="41" spans="1:9">
      <s:c r="A41" s="12" t="s">
        <s:v>19</s:v>
      </s:c>
      <s:c r="B41" s="25">
        <s:v>200</s:v>
      </s:c>
    </s:row>
    <s:row r="42" spans="1:9">
      <s:c r="A42" s="26" t="s">
        <s:v>35</s:v>
      </s:c>
      <s:c r="B42" s="27">
        <s:v>0.97</s:v>
      </s:c>
    </s:row>
    <s:row r="44" spans="1:9">
      <s:c r="A44" s="3" t="s">
        <s:v>36</s:v>
      </s:c>
      <s:c r="B44" s="3"/>
      <s:c r="C44" s="3"/>
      <s:c r="D44" s="3"/>
    </s:row>
    <s:row r="45" spans="1:9">
      <s:c r="A45" s="16">
        <s:f>SQRT((B42*(1-B42))/(B41))</s:f>
        <s:v>1.2062338081814825E-2</s:v>
      </s:c>
      <s:c r="B45" s="28">
        <s:f>A45</s:f>
        <s:v>1.2062338081814825E-2</s:v>
      </s:c>
    </s:row>
    <s:row r="47" spans="1:9">
      <s:c r="A47" s="3" t="s">
        <s:v>37</s:v>
      </s:c>
      <s:c r="B47" s="3"/>
    </s:row>
    <s:row r="48" spans="1:9">
      <s:c r="A48">
        <s:v>3</s:v>
      </s:c>
    </s:row>
    <s:row r="50" spans="1:9">
      <s:c r="A50" s="3" t="s">
        <s:v>38</s:v>
      </s:c>
      <s:c r="B50" s="3"/>
      <s:c r="C50" s="3"/>
    </s:row>
    <s:row r="51" spans="1:9">
      <s:c r="A51" s="16">
        <s:f>A48*A45</s:f>
        <s:v>3.6187014245444474E-2</s:v>
      </s:c>
      <s:c r="B51" s="28">
        <s:f>A51</s:f>
        <s:v>3.6187014245444474E-2</s:v>
      </s:c>
    </s:row>
    <s:row r="53" spans="1:9">
      <s:c r="A53" s="3" t="s">
        <s:v>39</s:v>
      </s:c>
      <s:c r="B53" s="3"/>
      <s:c r="C53" s="3"/>
      <s:c r="D53" s="3"/>
      <s:c r="E53" s="3"/>
      <s:c r="F53" s="3"/>
    </s:row>
    <s:row r="54" spans="1:9">
      <s:c r="A54" s="16">
        <s:f>B42-A51</s:f>
        <s:v>0.93381298575455551</s:v>
      </s:c>
      <s:c r="B54" s="28">
        <s:f>A54</s:f>
        <s:v>0.93381298575455551</s:v>
      </s:c>
    </s:row>
    <s:row r="56" spans="1:9">
      <s:c r="A56" s="3" t="s">
        <s:v>40</s:v>
      </s:c>
      <s:c r="B56" s="3"/>
      <s:c r="C56" s="3"/>
      <s:c r="D56" s="3"/>
      <s:c r="E56" s="3"/>
      <s:c r="F56" s="3"/>
    </s:row>
    <s:row r="57" spans="1:9">
      <s:c r="A57" s="16">
        <s:f>B42+A51</s:f>
        <s:v>1.0061870142454445</s:v>
      </s:c>
      <s:c r="B57" s="28">
        <s:f>A57</s:f>
        <s:v>1.0061870142454445</s:v>
      </s:c>
    </s:row>
    <s:row r="60" spans="1:9">
      <s:c r="A60" s="22" t="s">
        <s:v>41</s:v>
      </s:c>
    </s:row>
    <s:row r="62" spans="1:9" ht="43.5">
      <s:c r="A62" s="29" t="s">
        <s:v>42</s:v>
      </s:c>
      <s:c r="B62" s="30" t="s">
        <s:v>43</s:v>
      </s:c>
      <s:c r="C62" s="30" t="s">
        <s:v>44</s:v>
      </s:c>
      <s:c r="D62" s="30" t="s">
        <s:v>45</s:v>
      </s:c>
      <s:c r="E62" s="30" t="s">
        <s:v>46</s:v>
      </s:c>
      <s:c r="F62" s="29" t="s">
        <s:v>47</s:v>
      </s:c>
      <s:c r="G62" s="29" t="s">
        <s:v>48</s:v>
      </s:c>
      <s:c r="H62" s="35"/>
      <s:c r="I62" s="1"/>
    </s:row>
    <s:row r="63" spans="1:9">
      <s:c r="A63" s="29"/>
      <s:c r="B63" s="31" t="s">
        <s:v>18</s:v>
      </s:c>
      <s:c r="C63" s="31" t="s">
        <s:v>49</s:v>
      </s:c>
      <s:c r="D63" s="31" t="s">
        <s:v>19</s:v>
      </s:c>
      <s:c r="E63" s="31"/>
      <s:c r="F63" s="29"/>
      <s:c r="G63" s="29"/>
      <s:c r="H63" s="35"/>
      <s:c r="I63" s="1"/>
    </s:row>
    <s:row r="64" spans="1:9" ht="43.5">
      <s:c r="A64" s="32" t="s">
        <s:v>50</s:v>
      </s:c>
      <s:c r="B64" s="5">
        <s:v>11200</s:v>
      </s:c>
      <s:c r="C64" s="5">
        <s:v>1360</s:v>
      </s:c>
      <s:c r="D64" s="5">
        <s:v>560</s:v>
      </s:c>
      <s:c r="E64" s="5">
        <s:v>7225</s:v>
      </s:c>
      <s:c r="F64" s="5">
        <s:f>C64*D64</s:f>
        <s:v>761600</s:v>
      </s:c>
      <s:c r="G64" s="5">
        <s:f>E64*D64</s:f>
        <s:v>4046000</s:v>
      </s:c>
    </s:row>
    <s:row r="65" spans="1:7">
      <s:c r="A65" s="33" t="s">
        <s:v>51</s:v>
      </s:c>
      <s:c r="B65" s="5">
        <s:v>6300</s:v>
      </s:c>
      <s:c r="C65" s="5">
        <s:v>2250</s:v>
      </s:c>
      <s:c r="D65" s="5">
        <s:v>315</s:v>
      </s:c>
      <s:c r="E65" s="5">
        <s:v>52900</s:v>
      </s:c>
      <s:c r="F65" s="5">
        <s:f>C65*D65</s:f>
        <s:v>708750</s:v>
      </s:c>
      <s:c r="G65" s="5">
        <s:f>E65*D65</s:f>
        <s:v>16663500</s:v>
      </s:c>
    </s:row>
    <s:row r="66" spans="1:7">
      <s:c r="A66" s="34" t="s">
        <s:v>17</s:v>
      </s:c>
      <s:c r="B66" s="5">
        <s:f>SUM(B64:B65)</s:f>
        <s:v>17500</s:v>
      </s:c>
      <s:c r="C66" s="5"/>
      <s:c r="D66" s="5">
        <s:f>SUM(D64:D65)</s:f>
        <s:v>875</s:v>
      </s:c>
      <s:c r="E66" s="5"/>
      <s:c r="F66" s="5">
        <s:f>SUM(F64:F65)</s:f>
        <s:v>1470350</s:v>
      </s:c>
      <s:c r="G66" s="5">
        <s:f>SUM(G64:G65)</s:f>
        <s:v>20709500</s:v>
      </s:c>
    </s:row>
    <s:row r="68" spans="1:7">
      <s:c r="A68" s="3" t="s">
        <s:v>52</s:v>
      </s:c>
      <s:c r="B68" s="3"/>
      <s:c r="C68" s="3"/>
      <s:c r="D68" s="3"/>
    </s:row>
    <s:row r="69" spans="1:7">
      <s:c r="A69">
        <s:f>F66/D66</s:f>
        <s:v>1680.4</s:v>
      </s:c>
    </s:row>
    <s:row r="71" spans="1:7">
      <s:c r="A71" s="3" t="s">
        <s:v>53</s:v>
      </s:c>
      <s:c r="B71" s="3"/>
      <s:c r="C71" s="3"/>
      <s:c r="D71" s="3"/>
    </s:row>
    <s:row r="72" spans="1:7">
      <s:c r="A72">
        <s:f>G66/D66</s:f>
        <s:v>23668</s:v>
      </s:c>
    </s:row>
    <s:row r="74" spans="1:7">
      <s:c r="A74" s="3" t="s">
        <s:v>54</s:v>
      </s:c>
      <s:c r="B74" s="3"/>
      <s:c r="C74" s="3"/>
      <s:c r="D74" s="3"/>
    </s:row>
    <s:row r="75" spans="1:7">
      <s:c r="A75" s="14">
        <s:f>SQRT((A72/D66)*(1-(D66/B66)))</s:f>
        <s:v>5.0691898479230106</s:v>
      </s:c>
    </s:row>
    <s:row r="77" spans="1:7">
      <s:c r="A77" s="3" t="s">
        <s:v>55</s:v>
      </s:c>
      <s:c r="B77" s="3"/>
      <s:c r="C77" s="3"/>
      <s:c r="D77" s="3"/>
    </s:row>
    <s:row r="78" spans="1:7">
      <s:c r="A78" s="14">
        <s:f>1*A75</s:f>
        <s:v>5.0691898479230106</s:v>
      </s:c>
    </s:row>
    <s:row r="80" spans="1:7">
      <s:c r="A80" s="3" t="s">
        <s:v>56</s:v>
      </s:c>
      <s:c r="B80" s="3"/>
      <s:c r="C80" s="3"/>
      <s:c r="D80" s="3"/>
      <s:c r="E80" s="3"/>
    </s:row>
    <s:row r="81" spans="1:3">
      <s:c r="A81" s="2" t="s">
        <s:v>57</s:v>
      </s:c>
      <s:c r="B81" s="2"/>
      <s:c r="C81" s="2"/>
    </s:row>
    <s:row r="82" spans="1:3">
      <s:c r="A82" s="2" t="s">
        <s:v>58</s:v>
      </s:c>
      <s:c r="B82" s="2"/>
    </s:row>
    <s:row r="85" spans="1:3">
      <s:c r="A85" s="22" t="s">
        <s:v>59</s:v>
      </s:c>
    </s:row>
    <s:row r="87" spans="1:3">
      <s:c r="A87" s="12" t="s">
        <s:v>18</s:v>
      </s:c>
      <s:c r="B87" s="5">
        <s:v>15000</s:v>
      </s:c>
    </s:row>
    <s:row r="88" spans="1:3" ht="29.25">
      <s:c r="A88" s="36" t="s">
        <s:v>60</s:v>
      </s:c>
      <s:c r="B88" s="5">
        <s:v>0.1</s:v>
      </s:c>
    </s:row>
    <s:row r="89" spans="1:3">
      <s:c r="A89" s="12" t="s">
        <s:v>61</s:v>
      </s:c>
      <s:c r="B89" s="5">
        <s:v>0.95399999999999996</s:v>
      </s:c>
    </s:row>
    <s:row r="91" spans="1:3">
      <s:c r="A91" s="3" t="s">
        <s:v>62</s:v>
      </s:c>
      <s:c r="B91" s="3"/>
    </s:row>
    <s:row r="92" spans="1:3">
      <s:c r="A92">
        <s:v>2</s:v>
      </s:c>
    </s:row>
    <s:row r="94" spans="1:3">
      <s:c r="A94" s="3" t="s">
        <s:v>63</s:v>
      </s:c>
      <s:c r="B94" s="3"/>
    </s:row>
    <s:row r="95" spans="1:3">
      <s:c r="A95" s="17" t="s">
        <s:v>64</s:v>
      </s:c>
      <s:c r="B95">
        <s:f>0.1/2</s:f>
        <s:v>0.05</s:v>
      </s:c>
    </s:row>
    <s:row r="97" spans="1:4">
      <s:c r="A97" s="3" t="s">
        <s:v>65</s:v>
      </s:c>
      <s:c r="B97" s="3"/>
    </s:row>
    <s:row r="98" spans="1:4">
      <s:c r="A98" s="14">
        <s:f>A20</s:f>
        <s:v>0.41160000000002128</s:v>
      </s:c>
    </s:row>
    <s:row r="100" spans="1:4">
      <s:c r="A100" s="3" t="s">
        <s:v>66</s:v>
      </s:c>
      <s:c r="B100" s="3"/>
      <s:c r="C100" s="3"/>
    </s:row>
    <s:row r="101" spans="1:4">
      <s:c r="A101">
        <s:f>(A92*A92*A98)/(A92*B95)</s:f>
        <s:v>16.464000000000851</s:v>
      </s:c>
    </s:row>
    <s:row r="104" spans="1:4">
      <s:c r="A104" s="22" t="s">
        <s:v>67</s:v>
      </s:c>
    </s:row>
    <s:row r="106" spans="1:4">
      <s:c r="A106" s="12" t="s">
        <s:v>18</s:v>
      </s:c>
      <s:c r="B106" s="5">
        <s:v>1230</s:v>
      </s:c>
    </s:row>
    <s:row r="107" spans="1:4" ht="29.25">
      <s:c r="A107" s="36" t="s">
        <s:v>60</s:v>
      </s:c>
      <s:c r="B107" s="37">
        <s:v>1</s:v>
      </s:c>
    </s:row>
    <s:row r="108" spans="1:4">
      <s:c r="A108" s="12" t="s">
        <s:v>61</s:v>
      </s:c>
      <s:c r="B108" s="5">
        <s:v>0.95399999999999996</s:v>
      </s:c>
      <s:c r="C108" t="s">
        <s:v>68</s:v>
      </s:c>
      <s:c r="D108">
        <s:v>2</s:v>
      </s:c>
    </s:row>
    <s:row r="109" spans="1:4">
      <s:c r="A109" s="12" t="s">
        <s:v>69</s:v>
      </s:c>
      <s:c r="B109" s="5">
        <s:v>2.5</s:v>
      </s:c>
    </s:row>
    <s:row r="111" spans="1:4">
      <s:c r="A111" s="3" t="s">
        <s:v>70</s:v>
      </s:c>
      <s:c r="B111" s="3"/>
      <s:c r="C111" s="3"/>
    </s:row>
    <s:row r="112" spans="1:4">
      <s:c r="A112" s="38">
        <s:f>(D108*D108*B109*B109*B106)/(B106*B107+D108*D108*B109*B109)</s:f>
        <s:v>24.501992031872511</s:v>
      </s:c>
    </s:row>
    <s:row r="115" spans="1:3">
      <s:c r="A115" s="22" t="s">
        <s:v>71</s:v>
      </s:c>
    </s:row>
    <s:row r="117" spans="1:3">
      <s:c r="A117" s="12" t="s">
        <s:v>18</s:v>
      </s:c>
      <s:c r="B117" s="5">
        <s:v>15000</s:v>
      </s:c>
    </s:row>
    <s:row r="118" spans="1:3">
      <s:c r="A118" s="12" t="s">
        <s:v>72</s:v>
      </s:c>
      <s:c r="B118" s="5">
        <s:v>0.41</s:v>
      </s:c>
    </s:row>
    <s:row r="119" spans="1:3">
      <s:c r="A119" s="12" t="s">
        <s:v>19</s:v>
      </s:c>
      <s:c r="B119" s="5">
        <s:v>100</s:v>
      </s:c>
    </s:row>
    <s:row r="120" spans="1:3" ht="29.25">
      <s:c r="A120" s="36" t="s">
        <s:v>60</s:v>
      </s:c>
      <s:c r="B120" s="5">
        <s:v>100</s:v>
      </s:c>
    </s:row>
    <s:row r="122" spans="1:3">
      <s:c r="A122" s="3" t="s">
        <s:v>73</s:v>
      </s:c>
      <s:c r="B122" s="3"/>
      <s:c r="C122" s="3"/>
    </s:row>
    <s:row r="123" spans="1:3">
      <s:c r="A123" s="15">
        <s:f>SQRT((B118/B119)*(1-(B119/B117)))</s:f>
        <s:v>6.3817447979895484E-2</s:v>
      </s:c>
    </s:row>
    <s:row r="125" spans="1:3">
      <s:c r="A125" s="3" t="s">
        <s:v>37</s:v>
      </s:c>
      <s:c r="B125" s="3"/>
      <s:c r="C125" s="3"/>
    </s:row>
    <s:row r="126" spans="1:3">
      <s:c r="A126" t="s">
        <s:v>74</s:v>
      </s:c>
    </s:row>
    <s:row r="127" spans="1:3">
      <s:c r="A127" s="14">
        <s:f>0.1/A123</s:f>
        <s:v>1.5669695853632877</s:v>
      </s:c>
    </s:row>
    <s:row r="129" spans="1:2">
      <s:c r="A129" s="3" t="s">
        <s:v>75</s:v>
      </s:c>
      <s:c r="B129" s="3"/>
    </s:row>
    <s:row r="130" spans="1:2">
      <s:c r="A130">
        <s:v>0.88360000000000005</s:v>
      </s:c>
    </s:row>
  </s:sheetData>
  <s:mergeCells count="41">
    <s:mergeCell ref="A129:B129"/>
    <s:mergeCell ref="A97:B97"/>
    <s:mergeCell ref="A100:C100"/>
    <s:mergeCell ref="A111:C111"/>
    <s:mergeCell ref="A122:C122"/>
    <s:mergeCell ref="A125:C125"/>
    <s:mergeCell ref="A77:D77"/>
    <s:mergeCell ref="A80:E80"/>
    <s:mergeCell ref="A81:C81"/>
    <s:mergeCell ref="A82:B82"/>
    <s:mergeCell ref="A91:B91"/>
    <s:mergeCell ref="A94:B94"/>
    <s:mergeCell ref="G62:G63"/>
    <s:mergeCell ref="A68:D68"/>
    <s:mergeCell ref="A71:D71"/>
    <s:mergeCell ref="H62:H63"/>
    <s:mergeCell ref="I62:I63"/>
    <s:mergeCell ref="A74:D74"/>
    <s:mergeCell ref="A50:C50"/>
    <s:mergeCell ref="A53:F53"/>
    <s:mergeCell ref="A56:F56"/>
    <s:mergeCell ref="A62:A63"/>
    <s:mergeCell ref="F62:F63"/>
    <s:mergeCell ref="A36:B36"/>
    <s:mergeCell ref="D35:F35"/>
    <s:mergeCell ref="D36:E36"/>
    <s:mergeCell ref="A44:D44"/>
    <s:mergeCell ref="A47:B47"/>
    <s:mergeCell ref="A19:D19"/>
    <s:mergeCell ref="A22:D22"/>
    <s:mergeCell ref="A25:D25"/>
    <s:mergeCell ref="A29:B29"/>
    <s:mergeCell ref="A33:I33"/>
    <s:mergeCell ref="A35:C35"/>
    <s:mergeCell ref="A2:F2"/>
    <s:mergeCell ref="A4:B4"/>
    <s:mergeCell ref="C4:F4"/>
    <s:mergeCell ref="A5:A6"/>
    <s:mergeCell ref="D5:D6"/>
    <s:mergeCell ref="E5:E6"/>
    <s:mergeCell ref="F5:F6"/>
  </s:mergeCells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>
  <ep:Application>Microsoft Excel Online</ep:Application>
  <ep:Manager/>
  <ep:Company/>
  <ep:HyperlinkBase/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title/>
  <dc:subject/>
  <dc:creator/>
  <cp:keywords/>
  <dc:description/>
  <cp:lastModifiedBy/>
  <cp:revision/>
  <dcterms:created xsi:type="dcterms:W3CDTF">2025-12-29T19:07:58Z</dcterms:created>
  <dcterms:modified xsi:type="dcterms:W3CDTF">2025-12-29T21:27:47Z</dcterms:modified>
  <cp:category/>
  <cp:contentStatus/>
</cp:coreProperties>
</file>