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2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mc:Ignorable="unk1 xr xr6 xr10 xr2">
  <s:fileVersion appName="xl" lastEdited="7" lowestEdited="4" rupBuild="29622"/>
  <s:workbookPr/>
  <s:bookViews>
    <s:workbookView xr2:uid="{00000000-000D-0000-FFFF-FFFF00000000}" xWindow="240" yWindow="105" windowWidth="14805" windowHeight="8010"/>
  </s:bookViews>
  <s:sheets>
    <s:sheet name="Лист1" sheetId="1" state="visible" r:id="rId1"/>
  </s:sheets>
  <s:calcPr calcId="191028"/>
  <s:extLst>
    <s:ext uri="{140A7094-0E35-4892-8432-C4D2E57EDEB5}">
      <unk1:workbookPr chartTrackingRefBase="1"/>
    </s:ex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sharedStrings.xml><?xml version="1.0" encoding="utf-8"?>
<s:sst xmlns:s="http://schemas.openxmlformats.org/spreadsheetml/2006/main" count="34" uniqueCount="34">
  <s:si>
    <s:t>n</s:t>
  </s:si>
  <s:si>
    <s:t>Уровень цены, руб</s:t>
  </s:si>
  <s:si>
    <s:t>Частоты, Fi</s:t>
  </s:si>
  <s:si>
    <s:t>Частости, Wi</s:t>
  </s:si>
  <s:si>
    <s:t>Середина интервала Xi</s:t>
  </s:si>
  <s:si>
    <s:t>Накопленные частоты, Si</s:t>
  </s:si>
  <s:si>
    <s:t>Xi*Wi</s:t>
  </s:si>
  <s:si>
    <s:t>|Xi-Xср|</s:t>
  </s:si>
  <s:si>
    <s:t>|Xi-Xср|*Wi</s:t>
  </s:si>
  <s:si>
    <s:t>(Xi-Xср)^2</s:t>
  </s:si>
  <s:si>
    <s:t>(Xi-Xср)^2*Wi</s:t>
  </s:si>
  <s:si>
    <s:t>50-60</s:t>
  </s:si>
  <s:si>
    <s:t>60-70</s:t>
  </s:si>
  <s:si>
    <s:t>70-80</s:t>
  </s:si>
  <s:si>
    <s:t>80-90</s:t>
  </s:si>
  <s:si>
    <s:t>90-100</s:t>
  </s:si>
  <s:si>
    <s:t>Итог</s:t>
  </s:si>
  <s:si>
    <s:t>1. Средняя цена товара</s:t>
  </s:si>
  <s:si>
    <s:t>2. Размах вариации</s:t>
  </s:si>
  <s:si>
    <s:t>3. Коэф. осцилляции</s:t>
  </s:si>
  <s:si>
    <s:t>4. Среднее линейное отклонение</s:t>
  </s:si>
  <s:si>
    <s:t>5. Относительное линейное отклонение</s:t>
  </s:si>
  <s:si>
    <s:t>6. Дисперсия признака</s:t>
  </s:si>
  <s:si>
    <s:t>7. Среднее квадратическое отклонение</s:t>
  </s:si>
  <s:si>
    <s:t>8. Коэффициент вариации</s:t>
  </s:si>
  <s:si>
    <s:t>9. Значения 1-ого, 2-ого и 3-го квартилей по формулам</s:t>
  </s:si>
  <s:si>
    <s:t>Q1</s:t>
  </s:si>
  <s:si>
    <s:t>Nq1</s:t>
  </s:si>
  <s:si>
    <s:t>Q2</s:t>
  </s:si>
  <s:si>
    <s:t>Nq2</s:t>
  </s:si>
  <s:si>
    <s:t>Q3</s:t>
  </s:si>
  <s:si>
    <s:t>Nq3</s:t>
  </s:si>
  <s:si>
    <s:t>10. Квартильное отклонение</s:t>
  </s:si>
  <s:si>
    <s:t>11. Квартильный показатель вариации</s:t>
  </s:si>
</s:sst>
</file>

<file path=xl/styles.xml><?xml version="1.0" encoding="utf-8"?>
<s:styleSheet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mc:Ignorable="x14ac x16r2 xr">
  <s:numFmts count="5">
    <s:numFmt numFmtId="164" formatCode="_-* #,##0.000_-;\-* #,##0.000_-;_-* &quot;-&quot;??_-;_-@_-"/>
    <s:numFmt numFmtId="168" formatCode="_-* #,##0.00_-;\-* #,##0.00_-;_-* &quot;-&quot;????_-;_-@_-"/>
    <s:numFmt numFmtId="170" formatCode="0.0%"/>
    <s:numFmt numFmtId="175" formatCode="0.000"/>
    <s:numFmt numFmtId="176" formatCode="_-* #,##0.00_-;\-* #,##0.00_-;_-* &quot;-&quot;???_-;_-@_-"/>
  </s:numFmts>
  <s:fonts count="5">
    <s:font>
      <s:name val="Aptos Narrow"/>
      <s:family val="2"/>
      <s:color theme="1"/>
      <s:sz val="11"/>
      <s:scheme val="minor"/>
    </s:font>
    <s:font>
      <s:name val="Aptos Narrow"/>
      <s:family val="2"/>
      <s:b val="1"/>
      <s:color theme="1"/>
      <s:sz val="11"/>
      <s:scheme val="minor"/>
    </s:font>
    <s:font>
      <s:name val="Aptos Narrow"/>
      <s:charset val="1"/>
      <s:color rgb="FF242424"/>
      <s:sz val="11"/>
    </s:font>
    <s:font>
      <s:name val="Aptos Narrow"/>
      <s:charset val="1"/>
      <s:b val="1"/>
      <s:color rgb="FF242424"/>
      <s:sz val="11"/>
    </s:font>
    <s:font>
      <s:name val="Aptos Narrow"/>
      <s:family val="2"/>
      <s:color rgb="FF000000"/>
      <s:sz val="11"/>
      <s:scheme val="minor"/>
    </s:font>
  </s:fonts>
  <s:fills count="4">
    <s:fill>
      <s:patternFill patternType="none"/>
    </s:fill>
    <s:fill>
      <s:patternFill patternType="gray125"/>
    </s:fill>
    <s:fill>
      <s:patternFill patternType="solid">
        <s:fgColor theme="9" tint="0.8"/>
        <s:bgColor indexed="64"/>
      </s:patternFill>
    </s:fill>
    <s:fill>
      <s:patternFill patternType="solid">
        <s:fgColor theme="7" tint="0.8"/>
        <s:bgColor indexed="64"/>
      </s:patternFill>
    </s:fill>
  </s:fills>
  <s:borders count="6"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  <s:diagonal/>
    </s:border>
    <s:border>
      <s:left/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/>
      <s:right/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</s:borders>
  <s:cellStyleXfs count="1">
    <s:xf numFmtId="0" fontId="0" fillId="0" borderId="0"/>
  </s:cellStyleXfs>
  <s:cellXfs count="41">
    <s:xf numFmtId="0" fontId="0" fillId="0" borderId="0" xfId="0"/>
    <s:xf numFmtId="0" fontId="0" fillId="0" borderId="1" xfId="0" applyBorder="1"/>
    <s:xf numFmtId="0" fontId="0" fillId="0" borderId="0" xfId="0" applyFill="1" applyBorder="1"/>
    <s:xf numFmtId="0" fontId="1" fillId="0" borderId="0" xfId="0" applyFont="1" applyFill="1" applyBorder="1" applyAlignment="1">
      <s:alignment horizontal="right" mc:Ignorable="vyd"/>
    </s:xf>
    <s:xf numFmtId="0" fontId="1" fillId="0" borderId="0" xfId="0" applyFont="1" applyFill="1" applyBorder="1" applyAlignment="1">
      <s:alignment horizontal="right" wrapText="1" mc:Ignorable="vyd"/>
    </s:xf>
    <s:xf numFmtId="0" fontId="0" fillId="0" borderId="0" xfId="0" applyFill="1" applyBorder="1" applyAlignment="1">
      <s:alignment wrapText="1" mc:Ignorable="vyd"/>
    </s:xf>
    <s:xf numFmtId="0" fontId="0" fillId="0" borderId="0" xfId="0" applyFill="1" applyBorder="1" applyAlignment="1">
      <s:alignment horizontal="center" vertical="center" mc:Ignorable="vyd"/>
    </s:xf>
    <s:xf numFmtId="0" fontId="1" fillId="0" borderId="0" xfId="0" applyFont="1" applyFill="1" applyBorder="1" applyAlignment="1">
      <s:alignment horizontal="center" mc:Ignorable="vyd"/>
    </s:xf>
    <s:xf numFmtId="0" fontId="2" fillId="0" borderId="0" xfId="0" applyFont="1" applyFill="1" applyBorder="1"/>
    <s:xf numFmtId="0" fontId="0" fillId="0" borderId="0" xfId="0" applyAlignment="1">
      <s:alignment horizontal="center" vertical="center" mc:Ignorable="vyd"/>
    </s:xf>
    <s:xf numFmtId="0" fontId="0" fillId="0" borderId="0" xfId="0" applyFont="1" applyFill="1" applyBorder="1" applyAlignment="1">
      <s:alignment horizontal="center" vertical="center" mc:Ignorable="vyd"/>
    </s:xf>
    <s:xf numFmtId="164" fontId="0" fillId="0" borderId="0" xfId="0" applyNumberFormat="1" applyFill="1" applyBorder="1"/>
    <s:xf numFmtId="0" fontId="0" fillId="0" borderId="1" xfId="0" applyFill="1" applyBorder="1"/>
    <s:xf numFmtId="0" fontId="0" fillId="0" borderId="1" xfId="0" applyFill="1" applyBorder="1" applyAlignment="1">
      <s:alignment horizontal="center" mc:Ignorable="vyd"/>
    </s:xf>
    <s:xf numFmtId="0" fontId="4" fillId="2" borderId="1" xfId="0" applyFont="1" applyFill="1" applyBorder="1" applyAlignment="1">
      <s:alignment horizontal="center" vertical="center" mc:Ignorable="vyd"/>
    </s:xf>
    <s:xf numFmtId="0" fontId="1" fillId="3" borderId="1" xfId="0" applyFont="1" applyFill="1" applyBorder="1" applyAlignment="1">
      <s:alignment horizontal="center" vertical="center" wrapText="1" mc:Ignorable="vyd"/>
    </s:xf>
    <s:xf numFmtId="0" fontId="1" fillId="3" borderId="1" xfId="0" applyFont="1" applyFill="1" applyBorder="1" applyAlignment="1">
      <s:alignment horizontal="center" vertical="center" mc:Ignorable="vyd"/>
    </s:xf>
    <s:xf numFmtId="0" fontId="1" fillId="2" borderId="1" xfId="0" applyFont="1" applyFill="1" applyBorder="1" applyAlignment="1">
      <s:alignment horizontal="right" mc:Ignorable="vyd"/>
    </s:xf>
    <s:xf numFmtId="164" fontId="0" fillId="0" borderId="1" xfId="0" applyNumberFormat="1" applyFill="1" applyBorder="1"/>
    <s:xf numFmtId="168" fontId="0" fillId="0" borderId="0" xfId="0" applyNumberFormat="1" applyFill="1" applyBorder="1"/>
    <s:xf numFmtId="0" fontId="1" fillId="0" borderId="0" xfId="0" applyFont="1" applyFill="1" applyBorder="1" applyAlignment="1">
      <s:alignment horizontal="left" wrapText="1" mc:Ignorable="vyd"/>
    </s:xf>
    <s:xf numFmtId="170" fontId="0" fillId="0" borderId="0" xfId="0" applyNumberFormat="1" applyFill="1" applyBorder="1"/>
    <s:xf numFmtId="0" fontId="1" fillId="0" borderId="0" xfId="0" applyFont="1" applyFill="1" applyBorder="1" applyAlignment="1">
      <s:alignment horizontal="left" mc:Ignorable="vyd"/>
    </s:xf>
    <s:xf numFmtId="0" fontId="1" fillId="3" borderId="2" xfId="0" applyFont="1" applyFill="1" applyBorder="1" applyAlignment="1">
      <s:alignment horizontal="center" vertical="center" mc:Ignorable="vyd"/>
    </s:xf>
    <s:xf numFmtId="168" fontId="0" fillId="0" borderId="2" xfId="0" applyNumberFormat="1" applyFill="1" applyBorder="1"/>
    <s:xf numFmtId="2" fontId="0" fillId="0" borderId="1" xfId="0" applyNumberFormat="1" applyFill="1" applyBorder="1"/>
    <s:xf numFmtId="2" fontId="0" fillId="0" borderId="0" xfId="0" applyNumberFormat="1" applyFill="1" applyBorder="1"/>
    <s:xf numFmtId="0" fontId="1" fillId="3" borderId="3" xfId="0" applyFont="1" applyFill="1" applyBorder="1" applyAlignment="1">
      <s:alignment horizontal="center" vertical="center" wrapText="1" mc:Ignorable="vyd"/>
    </s:xf>
    <s:xf numFmtId="0" fontId="3" fillId="3" borderId="1" xfId="0" applyFont="1" applyFill="1" applyBorder="1" applyAlignment="1">
      <s:alignment horizontal="center" vertical="center" mc:Ignorable="vyd"/>
    </s:xf>
    <s:xf numFmtId="0" fontId="1" fillId="3" borderId="4" xfId="0" applyFont="1" applyFill="1" applyBorder="1" applyAlignment="1">
      <s:alignment horizontal="center" vertical="center" wrapText="1" mc:Ignorable="vyd"/>
    </s:xf>
    <s:xf numFmtId="2" fontId="0" fillId="0" borderId="4" xfId="0" applyNumberFormat="1" applyFill="1" applyBorder="1"/>
    <s:xf numFmtId="2" fontId="0" fillId="0" borderId="5" xfId="0" applyNumberFormat="1" applyFill="1" applyBorder="1"/>
    <s:xf numFmtId="176" fontId="0" fillId="0" borderId="1" xfId="0" applyNumberFormat="1" applyFill="1" applyBorder="1"/>
    <s:xf numFmtId="176" fontId="0" fillId="0" borderId="0" xfId="0" applyNumberFormat="1" applyFill="1" applyBorder="1"/>
    <s:xf numFmtId="2" fontId="0" fillId="0" borderId="0" xfId="0" applyNumberFormat="1" applyFont="1" applyFill="1" applyBorder="1" applyAlignment="1">
      <s:alignment horizontal="right" mc:Ignorable="vyd"/>
    </s:xf>
    <s:xf numFmtId="1" fontId="0" fillId="0" borderId="0" xfId="0" applyNumberFormat="1" applyFill="1" applyBorder="1"/>
    <s:xf numFmtId="2" fontId="0" fillId="0" borderId="0" xfId="0" applyNumberFormat="1" applyFill="1" applyBorder="1" applyAlignment="1">
      <s:alignment wrapText="1" mc:Ignorable="vyd"/>
    </s:xf>
    <s:xf numFmtId="0" fontId="1" fillId="0" borderId="0" xfId="0" applyFont="1" applyAlignment="1">
      <s:alignment horizontal="left" mc:Ignorable="vyd"/>
    </s:xf>
    <s:xf numFmtId="175" fontId="0" fillId="0" borderId="0" xfId="0" applyNumberFormat="1"/>
    <s:xf numFmtId="2" fontId="0" fillId="0" borderId="0" xfId="0" applyNumberFormat="1"/>
    <s:xf numFmtId="170" fontId="0" fillId="0" borderId="0" xfId="0" applyNumberFormat="1"/>
  </s:cellXfs>
  <s:cellStyles count="1">
    <s:cellStyle name="Обычный" xfId="0" builtinId="0"/>
  </s:cellStyles>
  <s:dxfs count="0"/>
  <s:tableStyles count="0" defaultTableStyle="TableStyleMedium2" defaultPivotStyle="PivotStyleMedium9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xmlns:thm15="http://schemas.microsoft.com/office/thememl/2012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Tfng" typeface="Ebrima"/>
      </a:majorFont>
      <a:minorFont>
        <a:latin typeface="Aptos Narrow" panose="02110004020202020204"/>
        <a:ea typeface=""/>
        <a:cs typeface="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000-000000000000}">
  <s:dimension ref="A1:AS48"/>
  <s:sheetViews>
    <s:sheetView tabSelected="0" topLeftCell="A29" workbookViewId="0">
      <s:selection activeCell="B48" sqref="B48"/>
    </s:sheetView>
  </s:sheetViews>
  <s:sheetFormatPr defaultColWidth="10" defaultRowHeight="15"/>
  <s:cols>
    <s:col min="1" max="1" width="14.141" customWidth="1"/>
    <s:col min="2" max="2" width="11.57" customWidth="1"/>
    <s:col min="3" max="3" width="10.426" customWidth="1"/>
    <s:col min="4" max="4" width="12.141" customWidth="1"/>
    <s:col min="5" max="5" width="14.285" customWidth="1"/>
    <s:col min="7" max="7" width="11.57" bestFit="1" customWidth="1"/>
    <s:col min="8" max="8" width="11.426" customWidth="1"/>
    <s:col min="9" max="9" width="10.855" customWidth="1"/>
    <s:col min="10" max="10" width="14.141" customWidth="1"/>
  </s:cols>
  <s:sheetData>
    <s:row r="1" spans="1:45">
      <s:c r="A1" s="6">
        <s:v>50</s:v>
      </s:c>
      <s:c r="B1" s="6">
        <s:v>58</s:v>
      </s:c>
      <s:c r="C1" s="6">
        <s:v>61</s:v>
      </s:c>
      <s:c r="D1" s="6">
        <s:v>61</s:v>
      </s:c>
      <s:c r="E1" s="6">
        <s:v>62</s:v>
      </s:c>
      <s:c r="F1" s="6">
        <s:v>64</s:v>
      </s:c>
      <s:c r="G1" s="6">
        <s:v>66</s:v>
      </s:c>
      <s:c r="H1" s="6">
        <s:v>68</s:v>
      </s:c>
      <s:c r="I1" s="2"/>
      <s:c r="J1" s="2"/>
      <s:c r="K1" s="2"/>
      <s:c r="L1" s="2"/>
      <s:c r="M1" s="2"/>
      <s:c r="N1" s="2"/>
      <s:c r="O1" s="2"/>
      <s:c r="P1" s="2"/>
      <s:c r="Q1" s="2"/>
      <s:c r="R1" s="2"/>
      <s:c r="S1" s="2"/>
      <s:c r="T1" s="2"/>
      <s:c r="U1" s="2"/>
      <s:c r="V1" s="2"/>
      <s:c r="W1" s="2"/>
      <s:c r="X1" s="2"/>
      <s:c r="Y1" s="2"/>
      <s:c r="Z1" s="2"/>
      <s:c r="AA1" s="2"/>
      <s:c r="AB1" s="2"/>
      <s:c r="AC1" s="2"/>
      <s:c r="AD1" s="2"/>
      <s:c r="AE1" s="2"/>
      <s:c r="AF1" s="2"/>
      <s:c r="AG1" s="2"/>
      <s:c r="AH1" s="2"/>
      <s:c r="AI1" s="2"/>
      <s:c r="AJ1" s="2"/>
      <s:c r="AK1" s="2"/>
      <s:c r="AL1" s="2"/>
      <s:c r="AM1" s="2"/>
      <s:c r="AN1" s="2"/>
      <s:c r="AO1" s="2"/>
      <s:c r="AP1" s="2"/>
      <s:c r="AQ1" s="2"/>
      <s:c r="AR1" s="2"/>
      <s:c r="AS1" s="2"/>
    </s:row>
    <s:row r="2" spans="1:45">
      <s:c r="A2" s="9">
        <s:v>68</s:v>
      </s:c>
      <s:c r="B2" s="9">
        <s:v>69</s:v>
      </s:c>
      <s:c r="C2" s="9">
        <s:v>72</s:v>
      </s:c>
      <s:c r="D2" s="9">
        <s:v>72</s:v>
      </s:c>
      <s:c r="E2" s="9">
        <s:v>74</s:v>
      </s:c>
      <s:c r="F2" s="9">
        <s:v>75</s:v>
      </s:c>
      <s:c r="G2" s="6">
        <s:v>75</s:v>
      </s:c>
      <s:c r="H2" s="6">
        <s:v>75</s:v>
      </s:c>
      <s:c r="I2" s="6"/>
      <s:c r="J2" s="6"/>
      <s:c r="K2" s="6"/>
      <s:c r="L2" s="6"/>
      <s:c r="M2" s="6"/>
      <s:c r="N2" s="6"/>
      <s:c r="O2" s="6"/>
      <s:c r="P2" s="6"/>
      <s:c r="Q2" s="6"/>
      <s:c r="R2" s="6"/>
      <s:c r="S2" s="6"/>
      <s:c r="T2" s="6"/>
      <s:c r="U2" s="6"/>
      <s:c r="V2" s="6"/>
      <s:c r="W2" s="6"/>
      <s:c r="X2" s="6"/>
      <s:c r="Y2" s="6"/>
      <s:c r="Z2" s="6"/>
      <s:c r="AA2" s="6"/>
      <s:c r="AB2" s="6"/>
      <s:c r="AC2" s="6"/>
      <s:c r="AD2" s="6"/>
      <s:c r="AE2" s="6"/>
      <s:c r="AF2" s="6"/>
      <s:c r="AG2" s="6"/>
      <s:c r="AH2" s="6"/>
      <s:c r="AI2" s="7"/>
      <s:c r="AJ2" s="2"/>
      <s:c r="AK2" s="2"/>
      <s:c r="AL2" s="2"/>
      <s:c r="AM2" s="2"/>
      <s:c r="AN2" s="2"/>
      <s:c r="AO2" s="2"/>
      <s:c r="AP2" s="2"/>
      <s:c r="AQ2" s="2"/>
      <s:c r="AR2" s="2"/>
      <s:c r="AS2" s="2"/>
    </s:row>
    <s:row r="3" spans="1:45">
      <s:c r="A3" s="10">
        <s:v>77</s:v>
      </s:c>
      <s:c r="B3" s="10">
        <s:v>77</s:v>
      </s:c>
      <s:c r="C3" s="6">
        <s:v>78</s:v>
      </s:c>
      <s:c r="D3" s="6">
        <s:v>78</s:v>
      </s:c>
      <s:c r="E3" s="6">
        <s:v>79</s:v>
      </s:c>
      <s:c r="F3" s="6">
        <s:v>79</s:v>
      </s:c>
      <s:c r="G3" s="6">
        <s:v>81</s:v>
      </s:c>
      <s:c r="H3" s="6">
        <s:v>82</s:v>
      </s:c>
      <s:c r="I3" s="14" t="s">
        <s:v>0</s:v>
      </s:c>
      <s:c r="J3" s="6"/>
      <s:c r="K3" s="6"/>
      <s:c r="L3" s="6"/>
      <s:c r="M3" s="6"/>
      <s:c r="N3" s="6"/>
      <s:c r="O3" s="6"/>
      <s:c r="P3" s="6"/>
      <s:c r="Q3" s="6"/>
      <s:c r="R3" s="6"/>
      <s:c r="S3" s="6"/>
      <s:c r="T3" s="6"/>
      <s:c r="U3" s="6"/>
      <s:c r="V3" s="6"/>
      <s:c r="W3" s="6"/>
      <s:c r="X3" s="6"/>
      <s:c r="Y3" s="6"/>
      <s:c r="Z3" s="6"/>
      <s:c r="AA3" s="6"/>
      <s:c r="AB3" s="6"/>
      <s:c r="AC3" s="6"/>
      <s:c r="AD3" s="6"/>
      <s:c r="AE3" s="6"/>
      <s:c r="AF3" s="6"/>
      <s:c r="AG3" s="6"/>
      <s:c r="AH3" s="6"/>
      <s:c r="AI3" s="6"/>
      <s:c r="AJ3" s="2"/>
      <s:c r="AK3" s="2"/>
      <s:c r="AL3" s="2"/>
      <s:c r="AM3" s="2"/>
      <s:c r="AN3" s="2"/>
      <s:c r="AO3" s="2"/>
      <s:c r="AP3" s="2"/>
      <s:c r="AQ3" s="2"/>
      <s:c r="AR3" s="2"/>
      <s:c r="AS3" s="2"/>
    </s:row>
    <s:row r="4" spans="1:45">
      <s:c r="A4" s="6">
        <s:v>84</s:v>
      </s:c>
      <s:c r="B4" s="6">
        <s:v>86</s:v>
      </s:c>
      <s:c r="C4" s="6">
        <s:v>87</s:v>
      </s:c>
      <s:c r="D4" s="6">
        <s:v>89</s:v>
      </s:c>
      <s:c r="E4" s="6">
        <s:v>89</s:v>
      </s:c>
      <s:c r="F4" s="6">
        <s:v>98</s:v>
      </s:c>
      <s:c r="G4" s="6">
        <s:v>99</s:v>
      </s:c>
      <s:c r="H4" s="6">
        <s:v>100</s:v>
      </s:c>
      <s:c r="I4" s="13">
        <s:v>32</s:v>
      </s:c>
      <s:c r="J4" s="2"/>
      <s:c r="K4" s="2"/>
      <s:c r="L4" s="2"/>
      <s:c r="M4" s="2"/>
      <s:c r="N4" s="2"/>
      <s:c r="O4" s="2"/>
      <s:c r="P4" s="2"/>
      <s:c r="Q4" s="2"/>
      <s:c r="R4" s="2"/>
      <s:c r="S4" s="2"/>
      <s:c r="T4" s="2"/>
      <s:c r="U4" s="2"/>
      <s:c r="V4" s="2"/>
      <s:c r="W4" s="2"/>
      <s:c r="X4" s="2"/>
      <s:c r="Y4" s="2"/>
      <s:c r="Z4" s="2"/>
      <s:c r="AA4" s="2"/>
      <s:c r="AB4" s="2"/>
      <s:c r="AC4" s="2"/>
      <s:c r="AD4" s="2"/>
      <s:c r="AE4" s="2"/>
      <s:c r="AF4" s="2"/>
      <s:c r="AG4" s="2"/>
      <s:c r="AH4" s="2"/>
      <s:c r="AI4" s="2"/>
      <s:c r="AJ4" s="2"/>
      <s:c r="AK4" s="2"/>
      <s:c r="AL4" s="2"/>
      <s:c r="AM4" s="2"/>
      <s:c r="AN4" s="2"/>
      <s:c r="AO4" s="2"/>
      <s:c r="AP4" s="2"/>
      <s:c r="AQ4" s="2"/>
      <s:c r="AR4" s="2"/>
      <s:c r="AS4" s="2"/>
    </s:row>
    <s:row r="5" spans="1:45">
      <s:c r="A5" s="7"/>
      <s:c r="B5" s="7"/>
      <s:c r="C5" s="7"/>
      <s:c r="D5" s="8"/>
      <s:c r="E5" s="2"/>
      <s:c r="F5" s="2"/>
      <s:c r="G5" s="2"/>
      <s:c r="H5" s="2"/>
      <s:c r="I5" s="2"/>
      <s:c r="J5" s="2"/>
      <s:c r="K5" s="2"/>
      <s:c r="L5" s="2"/>
      <s:c r="M5" s="2"/>
      <s:c r="N5" s="2"/>
      <s:c r="O5" s="2"/>
      <s:c r="P5" s="2"/>
      <s:c r="Q5" s="2"/>
      <s:c r="R5" s="2"/>
      <s:c r="S5" s="2"/>
      <s:c r="T5" s="2"/>
      <s:c r="U5" s="2"/>
      <s:c r="V5" s="2"/>
      <s:c r="W5" s="2"/>
      <s:c r="X5" s="2"/>
      <s:c r="Y5" s="2"/>
      <s:c r="Z5" s="2"/>
      <s:c r="AA5" s="2"/>
      <s:c r="AB5" s="2"/>
      <s:c r="AC5" s="2"/>
      <s:c r="AD5" s="2"/>
      <s:c r="AE5" s="2"/>
      <s:c r="AF5" s="2"/>
      <s:c r="AG5" s="2"/>
      <s:c r="AH5" s="2"/>
      <s:c r="AI5" s="2"/>
      <s:c r="AJ5" s="2"/>
      <s:c r="AK5" s="2"/>
      <s:c r="AL5" s="2"/>
      <s:c r="AM5" s="2"/>
      <s:c r="AN5" s="2"/>
      <s:c r="AO5" s="2"/>
      <s:c r="AP5" s="2"/>
      <s:c r="AQ5" s="2"/>
      <s:c r="AR5" s="2"/>
      <s:c r="AS5" s="2"/>
    </s:row>
    <s:row r="6" spans="1:45" ht="43.5">
      <s:c r="A6" s="15" t="s">
        <s:v>1</s:v>
      </s:c>
      <s:c r="B6" s="16" t="s">
        <s:v>2</s:v>
      </s:c>
      <s:c r="C6" s="15" t="s">
        <s:v>3</s:v>
      </s:c>
      <s:c r="D6" s="15" t="s">
        <s:v>4</s:v>
      </s:c>
      <s:c r="E6" s="15" t="s">
        <s:v>5</s:v>
      </s:c>
      <s:c r="F6" s="23" t="s">
        <s:v>6</s:v>
      </s:c>
      <s:c r="G6" s="28" t="s">
        <s:v>7</s:v>
      </s:c>
      <s:c r="H6" s="29" t="s">
        <s:v>8</s:v>
      </s:c>
      <s:c r="I6" s="28" t="s">
        <s:v>9</s:v>
      </s:c>
      <s:c r="J6" s="27" t="s">
        <s:v>10</s:v>
      </s:c>
      <s:c r="K6" s="2"/>
      <s:c r="L6" s="2"/>
      <s:c r="M6" s="2"/>
      <s:c r="N6" s="2"/>
      <s:c r="O6" s="2"/>
      <s:c r="P6" s="2"/>
      <s:c r="Q6" s="2"/>
      <s:c r="R6" s="2"/>
      <s:c r="S6" s="2"/>
      <s:c r="T6" s="2"/>
      <s:c r="U6" s="2"/>
      <s:c r="V6" s="2"/>
      <s:c r="W6" s="2"/>
      <s:c r="X6" s="2"/>
      <s:c r="Y6" s="2"/>
      <s:c r="Z6" s="2"/>
      <s:c r="AA6" s="2"/>
      <s:c r="AB6" s="2"/>
      <s:c r="AC6" s="2"/>
      <s:c r="AD6" s="2"/>
      <s:c r="AE6" s="2"/>
      <s:c r="AF6" s="2"/>
      <s:c r="AG6" s="2"/>
      <s:c r="AH6" s="2"/>
      <s:c r="AI6" s="2"/>
      <s:c r="AJ6" s="2"/>
      <s:c r="AK6" s="2"/>
      <s:c r="AL6" s="2"/>
      <s:c r="AM6" s="2"/>
      <s:c r="AN6" s="2"/>
      <s:c r="AO6" s="2"/>
      <s:c r="AP6" s="2"/>
      <s:c r="AQ6" s="2"/>
      <s:c r="AR6" s="2"/>
      <s:c r="AS6" s="2"/>
    </s:row>
    <s:row r="7" spans="1:45">
      <s:c r="A7" s="12" t="s">
        <s:v>11</s:v>
      </s:c>
      <s:c r="B7" s="12">
        <s:v>2</s:v>
      </s:c>
      <s:c r="C7" s="18">
        <s:f>B7/$I$4</s:f>
        <s:v>6.25E-2</s:v>
      </s:c>
      <s:c r="D7" s="12">
        <s:f>(50+60)/2</s:f>
        <s:v>55</s:v>
      </s:c>
      <s:c r="E7" s="12">
        <s:f>B7</s:f>
        <s:v>2</s:v>
      </s:c>
      <s:c r="F7" s="24">
        <s:f>D7*C7</s:f>
        <s:v>3.4375</s:v>
      </s:c>
      <s:c r="G7" s="1">
        <s:f>ABS(D7-$A$15)</s:f>
        <s:v>20.3125</s:v>
      </s:c>
      <s:c r="H7" s="30">
        <s:f>G7*C7</s:f>
        <s:v>1.26953125</s:v>
      </s:c>
      <s:c r="I7" s="31">
        <s:f>G7*G7</s:f>
        <s:v>412.59765625</s:v>
      </s:c>
      <s:c r="J7" s="32">
        <s:f>I7*C7</s:f>
        <s:v>25.787353515625</s:v>
      </s:c>
      <s:c r="K7" s="2"/>
      <s:c r="L7" s="2"/>
      <s:c r="M7" s="2"/>
      <s:c r="N7" s="2"/>
      <s:c r="O7" s="2"/>
      <s:c r="P7" s="2"/>
      <s:c r="Q7" s="2"/>
      <s:c r="R7" s="2"/>
      <s:c r="S7" s="2"/>
      <s:c r="T7" s="2"/>
      <s:c r="U7" s="2"/>
      <s:c r="V7" s="2"/>
      <s:c r="W7" s="2"/>
      <s:c r="X7" s="2"/>
      <s:c r="Y7" s="2"/>
      <s:c r="Z7" s="2"/>
      <s:c r="AA7" s="2"/>
      <s:c r="AB7" s="2"/>
      <s:c r="AC7" s="2"/>
      <s:c r="AD7" s="2"/>
      <s:c r="AE7" s="2"/>
      <s:c r="AF7" s="2"/>
      <s:c r="AG7" s="2"/>
      <s:c r="AH7" s="2"/>
      <s:c r="AI7" s="2"/>
      <s:c r="AJ7" s="2"/>
      <s:c r="AK7" s="2"/>
      <s:c r="AL7" s="2"/>
      <s:c r="AM7" s="2"/>
      <s:c r="AN7" s="2"/>
      <s:c r="AO7" s="2"/>
      <s:c r="AP7" s="2"/>
      <s:c r="AQ7" s="2"/>
      <s:c r="AR7" s="2"/>
      <s:c r="AS7" s="2"/>
    </s:row>
    <s:row r="8" spans="1:45">
      <s:c r="A8" s="12" t="s">
        <s:v>12</s:v>
      </s:c>
      <s:c r="B8" s="12">
        <s:v>8</s:v>
      </s:c>
      <s:c r="C8" s="18">
        <s:f validation_="true">B8/$I$4</s:f>
        <s:v>0.25</s:v>
      </s:c>
      <s:c r="D8" s="12">
        <s:f>(60+70)/2</s:f>
        <s:v>65</s:v>
      </s:c>
      <s:c r="E8" s="12">
        <s:f>E7+B8</s:f>
        <s:v>10</s:v>
      </s:c>
      <s:c r="F8" s="24">
        <s:f validation_="true">D8*C8</s:f>
        <s:v>16.25</s:v>
      </s:c>
      <s:c r="G8" s="1">
        <s:f validation_="true">ABS(D8-$A$15)</s:f>
        <s:v>10.3125</s:v>
      </s:c>
      <s:c r="H8" s="30">
        <s:f validation_="true">G8*C8</s:f>
        <s:v>2.578125</s:v>
      </s:c>
      <s:c r="I8" s="25">
        <s:f validation_="true">G8*G8</s:f>
        <s:v>106.34765625</s:v>
      </s:c>
      <s:c r="J8" s="32">
        <s:f validation_="true">I8*C8</s:f>
        <s:v>26.5869140625</s:v>
      </s:c>
      <s:c r="K8" s="2"/>
      <s:c r="L8" s="2"/>
      <s:c r="M8" s="2"/>
      <s:c r="N8" s="2"/>
      <s:c r="O8" s="2"/>
      <s:c r="P8" s="2"/>
      <s:c r="Q8" s="2"/>
      <s:c r="R8" s="2"/>
      <s:c r="S8" s="2"/>
      <s:c r="T8" s="2"/>
      <s:c r="U8" s="2"/>
      <s:c r="V8" s="2"/>
      <s:c r="W8" s="2"/>
      <s:c r="X8" s="2"/>
      <s:c r="Y8" s="2"/>
      <s:c r="Z8" s="2"/>
      <s:c r="AA8" s="2"/>
      <s:c r="AB8" s="2"/>
      <s:c r="AC8" s="2"/>
      <s:c r="AD8" s="2"/>
      <s:c r="AE8" s="2"/>
      <s:c r="AF8" s="2"/>
      <s:c r="AG8" s="2"/>
      <s:c r="AH8" s="2"/>
      <s:c r="AI8" s="2"/>
      <s:c r="AJ8" s="2"/>
      <s:c r="AK8" s="2"/>
      <s:c r="AL8" s="2"/>
      <s:c r="AM8" s="2"/>
      <s:c r="AN8" s="2"/>
      <s:c r="AO8" s="2"/>
      <s:c r="AP8" s="2"/>
      <s:c r="AQ8" s="2"/>
      <s:c r="AR8" s="2"/>
      <s:c r="AS8" s="2"/>
    </s:row>
    <s:row r="9" spans="1:45">
      <s:c r="A9" s="1" t="s">
        <s:v>13</s:v>
      </s:c>
      <s:c r="B9" s="1">
        <s:v>12</s:v>
      </s:c>
      <s:c r="C9" s="18">
        <s:f validation_="true">B9/$I$4</s:f>
        <s:v>0.375</s:v>
      </s:c>
      <s:c r="D9" s="12">
        <s:f>(70+80)/2</s:f>
        <s:v>75</s:v>
      </s:c>
      <s:c r="E9" s="12">
        <s:f validation_="true">E8+B9</s:f>
        <s:v>22</s:v>
      </s:c>
      <s:c r="F9" s="24">
        <s:f validation_="true">D9*C9</s:f>
        <s:v>28.125</s:v>
      </s:c>
      <s:c r="G9" s="1">
        <s:f validation_="true">ABS(D9-$A$15)</s:f>
        <s:v>0.3125</s:v>
      </s:c>
      <s:c r="H9" s="30">
        <s:f validation_="true">G9*C9</s:f>
        <s:v>0.1171875</s:v>
      </s:c>
      <s:c r="I9" s="25">
        <s:f validation_="true">G9*G9</s:f>
        <s:v>9.765625E-2</s:v>
      </s:c>
      <s:c r="J9" s="32">
        <s:f validation_="true">I9*C9</s:f>
        <s:v>3.662109375E-2</s:v>
      </s:c>
      <s:c r="K9" s="2"/>
      <s:c r="L9" s="2"/>
      <s:c r="M9" s="2"/>
      <s:c r="N9" s="2"/>
      <s:c r="O9" s="2"/>
      <s:c r="P9" s="2"/>
      <s:c r="Q9" s="2"/>
      <s:c r="R9" s="2"/>
      <s:c r="S9" s="2"/>
      <s:c r="T9" s="2"/>
      <s:c r="U9" s="2"/>
      <s:c r="V9" s="2"/>
      <s:c r="W9" s="2"/>
      <s:c r="X9" s="2"/>
      <s:c r="Y9" s="2"/>
      <s:c r="Z9" s="2"/>
      <s:c r="AA9" s="2"/>
      <s:c r="AB9" s="2"/>
      <s:c r="AC9" s="2"/>
      <s:c r="AD9" s="2"/>
      <s:c r="AE9" s="2"/>
      <s:c r="AF9" s="2"/>
      <s:c r="AG9" s="2"/>
      <s:c r="AH9" s="2"/>
      <s:c r="AI9" s="2"/>
      <s:c r="AJ9" s="2"/>
      <s:c r="AK9" s="2"/>
      <s:c r="AL9" s="2"/>
      <s:c r="AM9" s="2"/>
      <s:c r="AN9" s="2"/>
      <s:c r="AO9" s="2"/>
      <s:c r="AP9" s="2"/>
      <s:c r="AQ9" s="2"/>
      <s:c r="AR9" s="2"/>
      <s:c r="AS9" s="2"/>
    </s:row>
    <s:row r="10" spans="1:45">
      <s:c r="A10" s="12" t="s">
        <s:v>14</s:v>
      </s:c>
      <s:c r="B10" s="12">
        <s:v>7</s:v>
      </s:c>
      <s:c r="C10" s="18">
        <s:f validation_="true">B10/$I$4</s:f>
        <s:v>0.21875</s:v>
      </s:c>
      <s:c r="D10" s="12">
        <s:f>(80+90)/2</s:f>
        <s:v>85</s:v>
      </s:c>
      <s:c r="E10" s="12">
        <s:f validation_="true">E9+B10</s:f>
        <s:v>29</s:v>
      </s:c>
      <s:c r="F10" s="24">
        <s:f validation_="true">D10*C10</s:f>
        <s:v>18.59375</s:v>
      </s:c>
      <s:c r="G10" s="1">
        <s:f validation_="true">ABS(D10-$A$15)</s:f>
        <s:v>9.6875</s:v>
      </s:c>
      <s:c r="H10" s="30">
        <s:f validation_="true">G10*C10</s:f>
        <s:v>2.119140625</s:v>
      </s:c>
      <s:c r="I10" s="25">
        <s:f validation_="true">G10*G10</s:f>
        <s:v>93.84765625</s:v>
      </s:c>
      <s:c r="J10" s="32">
        <s:f validation_="true">I10*C10</s:f>
        <s:v>20.5291748046875</s:v>
      </s:c>
      <s:c r="K10" s="2"/>
      <s:c r="L10" s="2"/>
      <s:c r="M10" s="2"/>
      <s:c r="N10" s="2"/>
      <s:c r="O10" s="2"/>
      <s:c r="P10" s="2"/>
      <s:c r="Q10" s="2"/>
      <s:c r="R10" s="2"/>
      <s:c r="S10" s="2"/>
      <s:c r="T10" s="2"/>
      <s:c r="U10" s="2"/>
      <s:c r="V10" s="2"/>
      <s:c r="W10" s="2"/>
      <s:c r="X10" s="2"/>
      <s:c r="Y10" s="2"/>
      <s:c r="Z10" s="2"/>
      <s:c r="AA10" s="2"/>
      <s:c r="AB10" s="2"/>
      <s:c r="AC10" s="2"/>
      <s:c r="AD10" s="2"/>
      <s:c r="AE10" s="2"/>
      <s:c r="AF10" s="2"/>
      <s:c r="AG10" s="2"/>
      <s:c r="AH10" s="2"/>
      <s:c r="AI10" s="2"/>
      <s:c r="AJ10" s="2"/>
      <s:c r="AK10" s="2"/>
      <s:c r="AL10" s="2"/>
      <s:c r="AM10" s="2"/>
      <s:c r="AN10" s="2"/>
      <s:c r="AO10" s="2"/>
      <s:c r="AP10" s="2"/>
      <s:c r="AQ10" s="2"/>
      <s:c r="AR10" s="2"/>
      <s:c r="AS10" s="2"/>
    </s:row>
    <s:row r="11" spans="1:45">
      <s:c r="A11" s="12" t="s">
        <s:v>15</s:v>
      </s:c>
      <s:c r="B11" s="12">
        <s:v>3</s:v>
      </s:c>
      <s:c r="C11" s="18">
        <s:f validation_="true">B11/$I$4</s:f>
        <s:v>9.375E-2</s:v>
      </s:c>
      <s:c r="D11" s="12">
        <s:f>(90+100)/2</s:f>
        <s:v>95</s:v>
      </s:c>
      <s:c r="E11" s="12">
        <s:f validation_="true">E10+B11</s:f>
        <s:v>32</s:v>
      </s:c>
      <s:c r="F11" s="24">
        <s:f validation_="true">D11*C11</s:f>
        <s:v>8.90625</s:v>
      </s:c>
      <s:c r="G11" s="1">
        <s:f validation_="true">ABS(D11-$A$15)</s:f>
        <s:v>19.6875</s:v>
      </s:c>
      <s:c r="H11" s="30">
        <s:f validation_="true">G11*C11</s:f>
        <s:v>1.845703125</s:v>
      </s:c>
      <s:c r="I11" s="25">
        <s:f validation_="true">G11*G11</s:f>
        <s:v>387.59765625</s:v>
      </s:c>
      <s:c r="J11" s="32">
        <s:f validation_="true">I11*C11</s:f>
        <s:v>36.3372802734375</s:v>
      </s:c>
      <s:c r="K11" s="2"/>
      <s:c r="L11" s="2"/>
      <s:c r="M11" s="2"/>
      <s:c r="N11" s="2"/>
      <s:c r="O11" s="2"/>
      <s:c r="P11" s="2"/>
      <s:c r="Q11" s="2"/>
      <s:c r="R11" s="2"/>
      <s:c r="S11" s="2"/>
      <s:c r="T11" s="2"/>
      <s:c r="U11" s="2"/>
      <s:c r="V11" s="2"/>
      <s:c r="W11" s="2"/>
      <s:c r="X11" s="2"/>
      <s:c r="Y11" s="2"/>
      <s:c r="Z11" s="2"/>
      <s:c r="AA11" s="2"/>
      <s:c r="AB11" s="2"/>
      <s:c r="AC11" s="2"/>
      <s:c r="AD11" s="2"/>
      <s:c r="AE11" s="2"/>
      <s:c r="AF11" s="2"/>
      <s:c r="AG11" s="2"/>
      <s:c r="AH11" s="2"/>
      <s:c r="AI11" s="2"/>
      <s:c r="AJ11" s="2"/>
      <s:c r="AK11" s="2"/>
      <s:c r="AL11" s="2"/>
      <s:c r="AM11" s="2"/>
      <s:c r="AN11" s="2"/>
      <s:c r="AO11" s="2"/>
      <s:c r="AP11" s="2"/>
      <s:c r="AQ11" s="2"/>
      <s:c r="AR11" s="2"/>
      <s:c r="AS11" s="2"/>
    </s:row>
    <s:row r="12" spans="1:45">
      <s:c r="A12" s="17" t="s">
        <s:v>16</s:v>
      </s:c>
      <s:c r="B12" s="12">
        <s:f>SUM(B7:B11)</s:f>
        <s:v>32</s:v>
      </s:c>
      <s:c r="C12" s="12">
        <s:f>SUM(C7:C11)</s:f>
        <s:v>1</s:v>
      </s:c>
      <s:c r="D12" s="12"/>
      <s:c r="E12" s="12"/>
      <s:c r="F12" s="24">
        <s:f>SUM(F7:F11)</s:f>
        <s:v>75.3125</s:v>
      </s:c>
      <s:c r="G12" s="1"/>
      <s:c r="H12" s="30">
        <s:f>SUM(H7:H11)</s:f>
        <s:v>7.9296875</s:v>
      </s:c>
      <s:c r="I12" s="12"/>
      <s:c r="J12" s="32">
        <s:f>SUM(J7:J11)</s:f>
        <s:v>109.27734375</s:v>
      </s:c>
      <s:c r="K12" s="2"/>
      <s:c r="L12" s="2"/>
      <s:c r="M12" s="2"/>
      <s:c r="N12" s="2"/>
      <s:c r="O12" s="2"/>
      <s:c r="P12" s="2"/>
      <s:c r="Q12" s="2"/>
      <s:c r="R12" s="2"/>
      <s:c r="S12" s="2"/>
      <s:c r="T12" s="2"/>
      <s:c r="U12" s="2"/>
      <s:c r="V12" s="2"/>
      <s:c r="W12" s="2"/>
      <s:c r="X12" s="2"/>
      <s:c r="Y12" s="2"/>
      <s:c r="Z12" s="2"/>
      <s:c r="AA12" s="2"/>
      <s:c r="AB12" s="2"/>
      <s:c r="AC12" s="2"/>
      <s:c r="AD12" s="2"/>
      <s:c r="AE12" s="2"/>
      <s:c r="AF12" s="2"/>
      <s:c r="AG12" s="2"/>
      <s:c r="AH12" s="2"/>
      <s:c r="AI12" s="2"/>
      <s:c r="AJ12" s="2"/>
      <s:c r="AK12" s="2"/>
      <s:c r="AL12" s="2"/>
      <s:c r="AM12" s="2"/>
      <s:c r="AN12" s="2"/>
      <s:c r="AO12" s="2"/>
      <s:c r="AP12" s="2"/>
      <s:c r="AQ12" s="2"/>
      <s:c r="AR12" s="2"/>
      <s:c r="AS12" s="2"/>
    </s:row>
    <s:row r="13" spans="1:45">
      <s:c r="A13" s="2"/>
      <s:c r="B13" s="2"/>
      <s:c r="C13" s="2"/>
      <s:c r="D13" s="2"/>
      <s:c r="E13" s="2"/>
      <s:c r="F13" s="2"/>
      <s:c r="G13" s="2"/>
      <s:c r="H13" s="2"/>
      <s:c r="I13" s="2"/>
      <s:c r="J13" s="2"/>
      <s:c r="K13" s="2"/>
      <s:c r="L13" s="2"/>
      <s:c r="M13" s="2"/>
      <s:c r="N13" s="2"/>
      <s:c r="O13" s="2"/>
      <s:c r="P13" s="2"/>
      <s:c r="Q13" s="2"/>
      <s:c r="R13" s="2"/>
      <s:c r="S13" s="2"/>
      <s:c r="T13" s="2"/>
      <s:c r="U13" s="2"/>
      <s:c r="V13" s="2"/>
      <s:c r="W13" s="2"/>
      <s:c r="X13" s="2"/>
      <s:c r="Y13" s="2"/>
      <s:c r="Z13" s="2"/>
      <s:c r="AA13" s="2"/>
      <s:c r="AB13" s="2"/>
      <s:c r="AC13" s="2"/>
      <s:c r="AD13" s="2"/>
      <s:c r="AE13" s="2"/>
      <s:c r="AF13" s="2"/>
      <s:c r="AG13" s="2"/>
      <s:c r="AH13" s="2"/>
      <s:c r="AI13" s="2"/>
      <s:c r="AJ13" s="2"/>
      <s:c r="AK13" s="2"/>
      <s:c r="AL13" s="2"/>
      <s:c r="AM13" s="2"/>
      <s:c r="AN13" s="2"/>
      <s:c r="AO13" s="2"/>
      <s:c r="AP13" s="2"/>
      <s:c r="AQ13" s="2"/>
      <s:c r="AR13" s="2"/>
      <s:c r="AS13" s="2"/>
    </s:row>
    <s:row r="14" spans="1:45" ht="16.5" customHeight="1">
      <s:c r="A14" s="20" t="s">
        <s:v>17</s:v>
      </s:c>
      <s:c r="B14" s="20"/>
      <s:c r="C14" s="2"/>
      <s:c r="D14" s="2"/>
      <s:c r="E14" s="2"/>
      <s:c r="F14" s="2"/>
      <s:c r="G14" s="2"/>
      <s:c r="H14" s="2"/>
      <s:c r="I14" s="2"/>
      <s:c r="J14" s="2"/>
      <s:c r="K14" s="2"/>
      <s:c r="L14" s="2"/>
      <s:c r="M14" s="2"/>
      <s:c r="N14" s="2"/>
      <s:c r="O14" s="2"/>
      <s:c r="P14" s="2"/>
      <s:c r="Q14" s="2"/>
      <s:c r="R14" s="2"/>
      <s:c r="S14" s="2"/>
      <s:c r="T14" s="2"/>
      <s:c r="U14" s="2"/>
      <s:c r="V14" s="2"/>
      <s:c r="W14" s="2"/>
      <s:c r="X14" s="2"/>
      <s:c r="Y14" s="2"/>
      <s:c r="Z14" s="2"/>
      <s:c r="AA14" s="2"/>
      <s:c r="AB14" s="2"/>
      <s:c r="AC14" s="2"/>
      <s:c r="AD14" s="2"/>
      <s:c r="AE14" s="2"/>
      <s:c r="AF14" s="2"/>
      <s:c r="AG14" s="2"/>
      <s:c r="AH14" s="2"/>
      <s:c r="AI14" s="2"/>
      <s:c r="AJ14" s="2"/>
      <s:c r="AK14" s="2"/>
      <s:c r="AL14" s="2"/>
      <s:c r="AM14" s="2"/>
      <s:c r="AN14" s="2"/>
      <s:c r="AO14" s="2"/>
      <s:c r="AP14" s="2"/>
      <s:c r="AQ14" s="2"/>
      <s:c r="AR14" s="2"/>
      <s:c r="AS14" s="2"/>
    </s:row>
    <s:row r="15" spans="1:45">
      <s:c r="A15" s="19">
        <s:f>F12</s:f>
        <s:v>75.3125</s:v>
      </s:c>
      <s:c r="B15" s="2"/>
      <s:c r="C15" s="2"/>
      <s:c r="D15" s="2"/>
      <s:c r="E15" s="2"/>
      <s:c r="F15" s="2"/>
      <s:c r="G15" s="2"/>
      <s:c r="H15" s="2"/>
      <s:c r="I15" s="2"/>
      <s:c r="J15" s="2"/>
      <s:c r="K15" s="2"/>
      <s:c r="L15" s="2"/>
      <s:c r="M15" s="2"/>
      <s:c r="N15" s="2"/>
      <s:c r="O15" s="2"/>
      <s:c r="P15" s="2"/>
      <s:c r="Q15" s="2"/>
      <s:c r="R15" s="2"/>
      <s:c r="S15" s="2"/>
      <s:c r="T15" s="2"/>
      <s:c r="U15" s="2"/>
      <s:c r="V15" s="2"/>
      <s:c r="W15" s="2"/>
      <s:c r="X15" s="2"/>
      <s:c r="Y15" s="2"/>
      <s:c r="Z15" s="2"/>
      <s:c r="AA15" s="2"/>
      <s:c r="AB15" s="2"/>
      <s:c r="AC15" s="2"/>
      <s:c r="AD15" s="2"/>
      <s:c r="AE15" s="2"/>
      <s:c r="AF15" s="2"/>
      <s:c r="AG15" s="2"/>
      <s:c r="AH15" s="2"/>
      <s:c r="AI15" s="2"/>
      <s:c r="AJ15" s="2"/>
      <s:c r="AK15" s="2"/>
      <s:c r="AL15" s="2"/>
      <s:c r="AM15" s="2"/>
      <s:c r="AN15" s="2"/>
      <s:c r="AO15" s="2"/>
      <s:c r="AP15" s="2"/>
      <s:c r="AQ15" s="2"/>
      <s:c r="AR15" s="2"/>
      <s:c r="AS15" s="2"/>
    </s:row>
    <s:row r="16" spans="1:45">
      <s:c r="A16" s="2"/>
      <s:c r="B16" s="2"/>
      <s:c r="C16" s="2"/>
      <s:c r="D16" s="2"/>
      <s:c r="E16" s="2"/>
      <s:c r="F16" s="2"/>
      <s:c r="G16" s="2"/>
      <s:c r="H16" s="2"/>
      <s:c r="I16" s="2"/>
      <s:c r="J16" s="2"/>
      <s:c r="K16" s="2"/>
      <s:c r="L16" s="2"/>
      <s:c r="M16" s="2"/>
      <s:c r="N16" s="2"/>
      <s:c r="O16" s="2"/>
      <s:c r="P16" s="2"/>
      <s:c r="Q16" s="2"/>
      <s:c r="R16" s="2"/>
      <s:c r="S16" s="2"/>
      <s:c r="T16" s="2"/>
      <s:c r="U16" s="2"/>
      <s:c r="V16" s="2"/>
      <s:c r="W16" s="2"/>
      <s:c r="X16" s="2"/>
      <s:c r="Y16" s="2"/>
      <s:c r="Z16" s="2"/>
      <s:c r="AA16" s="2"/>
      <s:c r="AB16" s="2"/>
      <s:c r="AC16" s="2"/>
      <s:c r="AD16" s="2"/>
      <s:c r="AE16" s="2"/>
      <s:c r="AF16" s="2"/>
      <s:c r="AG16" s="2"/>
      <s:c r="AH16" s="2"/>
      <s:c r="AI16" s="2"/>
      <s:c r="AJ16" s="2"/>
      <s:c r="AK16" s="2"/>
      <s:c r="AL16" s="2"/>
      <s:c r="AM16" s="2"/>
      <s:c r="AN16" s="2"/>
      <s:c r="AO16" s="2"/>
      <s:c r="AP16" s="2"/>
      <s:c r="AQ16" s="2"/>
      <s:c r="AR16" s="2"/>
      <s:c r="AS16" s="2"/>
    </s:row>
    <s:row r="17" spans="1:45" ht="13.5" customHeight="1">
      <s:c r="A17" s="20" t="s">
        <s:v>18</s:v>
      </s:c>
      <s:c r="B17" s="20"/>
      <s:c r="C17" s="2"/>
      <s:c r="D17" s="2"/>
      <s:c r="E17" s="2"/>
      <s:c r="F17" s="2"/>
      <s:c r="G17" s="2"/>
      <s:c r="H17" s="2"/>
      <s:c r="I17" s="2"/>
      <s:c r="J17" s="2"/>
      <s:c r="K17" s="2"/>
      <s:c r="L17" s="2"/>
      <s:c r="M17" s="2"/>
      <s:c r="N17" s="2"/>
      <s:c r="O17" s="2"/>
      <s:c r="P17" s="2"/>
      <s:c r="Q17" s="2"/>
      <s:c r="R17" s="2"/>
      <s:c r="S17" s="2"/>
      <s:c r="T17" s="2"/>
      <s:c r="U17" s="2"/>
      <s:c r="V17" s="2"/>
      <s:c r="W17" s="2"/>
      <s:c r="X17" s="2"/>
      <s:c r="Y17" s="2"/>
      <s:c r="Z17" s="2"/>
      <s:c r="AA17" s="2"/>
      <s:c r="AB17" s="2"/>
      <s:c r="AC17" s="2"/>
      <s:c r="AD17" s="2"/>
      <s:c r="AE17" s="2"/>
      <s:c r="AF17" s="2"/>
      <s:c r="AG17" s="2"/>
      <s:c r="AH17" s="2"/>
      <s:c r="AI17" s="2"/>
      <s:c r="AJ17" s="2"/>
      <s:c r="AK17" s="2"/>
      <s:c r="AL17" s="2"/>
      <s:c r="AM17" s="2"/>
      <s:c r="AN17" s="2"/>
      <s:c r="AO17" s="2"/>
      <s:c r="AP17" s="2"/>
      <s:c r="AQ17" s="2"/>
      <s:c r="AR17" s="2"/>
      <s:c r="AS17" s="2"/>
    </s:row>
    <s:row r="18" spans="1:45">
      <s:c r="A18" s="2">
        <s:f>100-50</s:f>
        <s:v>50</s:v>
      </s:c>
      <s:c r="B18" s="2"/>
      <s:c r="C18" s="2"/>
      <s:c r="D18" s="2"/>
      <s:c r="E18" s="2"/>
      <s:c r="F18" s="2"/>
      <s:c r="G18" s="2"/>
      <s:c r="H18" s="2"/>
      <s:c r="I18" s="2"/>
      <s:c r="J18" s="2"/>
      <s:c r="K18" s="2"/>
      <s:c r="L18" s="2"/>
      <s:c r="M18" s="2"/>
      <s:c r="N18" s="2"/>
      <s:c r="O18" s="2"/>
      <s:c r="P18" s="2"/>
      <s:c r="Q18" s="2"/>
      <s:c r="R18" s="2"/>
      <s:c r="S18" s="2"/>
      <s:c r="T18" s="2"/>
      <s:c r="U18" s="2"/>
      <s:c r="V18" s="2"/>
      <s:c r="W18" s="2"/>
      <s:c r="X18" s="2"/>
      <s:c r="Y18" s="2"/>
      <s:c r="Z18" s="2"/>
      <s:c r="AA18" s="2"/>
      <s:c r="AB18" s="2"/>
      <s:c r="AC18" s="2"/>
      <s:c r="AD18" s="2"/>
      <s:c r="AE18" s="2"/>
      <s:c r="AF18" s="2"/>
      <s:c r="AG18" s="2"/>
      <s:c r="AH18" s="2"/>
      <s:c r="AI18" s="2"/>
      <s:c r="AJ18" s="2"/>
      <s:c r="AK18" s="2"/>
      <s:c r="AL18" s="2"/>
      <s:c r="AM18" s="2"/>
      <s:c r="AN18" s="2"/>
      <s:c r="AO18" s="2"/>
      <s:c r="AP18" s="2"/>
      <s:c r="AQ18" s="2"/>
      <s:c r="AR18" s="2"/>
      <s:c r="AS18" s="2"/>
    </s:row>
    <s:row r="19" spans="1:45">
      <s:c r="A19" s="2"/>
      <s:c r="B19" s="2"/>
      <s:c r="C19" s="2"/>
      <s:c r="D19" s="2"/>
      <s:c r="E19" s="2"/>
      <s:c r="F19" s="2"/>
      <s:c r="G19" s="2"/>
    </s:row>
    <s:row r="20" spans="1:45">
      <s:c r="A20" s="22" t="s">
        <s:v>19</s:v>
      </s:c>
      <s:c r="B20" s="22"/>
      <s:c r="C20" s="22"/>
      <s:c r="D20" s="2"/>
      <s:c r="E20" s="2"/>
      <s:c r="F20" s="2"/>
      <s:c r="G20" s="2"/>
    </s:row>
    <s:row r="21" spans="1:45">
      <s:c r="A21" s="11">
        <s:f>A18/A15</s:f>
        <s:v>0.66390041493775931</s:v>
      </s:c>
      <s:c r="B21" s="21">
        <s:f>A21</s:f>
        <s:v>0.66390041493775931</s:v>
      </s:c>
      <s:c r="C21" s="2"/>
      <s:c r="D21" s="2"/>
      <s:c r="E21" s="2"/>
      <s:c r="F21" s="2"/>
      <s:c r="G21" s="2"/>
    </s:row>
    <s:row r="22" spans="1:45">
      <s:c r="A22" s="2"/>
      <s:c r="B22" s="2"/>
      <s:c r="C22" s="2"/>
      <s:c r="D22" s="2"/>
      <s:c r="E22" s="2"/>
      <s:c r="F22" s="2"/>
      <s:c r="G22" s="2"/>
    </s:row>
    <s:row r="23" spans="1:45">
      <s:c r="A23" s="22" t="s">
        <s:v>20</s:v>
      </s:c>
      <s:c r="B23" s="22"/>
      <s:c r="C23" s="22"/>
      <s:c r="D23" s="2"/>
      <s:c r="E23" s="2"/>
      <s:c r="F23" s="2"/>
      <s:c r="G23" s="2"/>
    </s:row>
    <s:row r="24" spans="1:45">
      <s:c r="A24" s="26">
        <s:f>H12</s:f>
        <s:v>7.9296875</s:v>
      </s:c>
      <s:c r="B24" s="2"/>
      <s:c r="C24" s="2"/>
      <s:c r="D24" s="2"/>
      <s:c r="E24" s="2"/>
      <s:c r="F24" s="2"/>
      <s:c r="G24" s="2"/>
    </s:row>
    <s:row r="25" spans="1:45">
      <s:c r="A25" s="2"/>
      <s:c r="B25" s="2"/>
      <s:c r="C25" s="2"/>
      <s:c r="D25" s="2"/>
      <s:c r="E25" s="2"/>
      <s:c r="F25" s="2"/>
      <s:c r="G25" s="2"/>
    </s:row>
    <s:row r="26" spans="1:45">
      <s:c r="A26" s="22" t="s">
        <s:v>21</s:v>
      </s:c>
      <s:c r="B26" s="22"/>
      <s:c r="C26" s="22"/>
      <s:c r="D26" s="22"/>
      <s:c r="E26" s="2"/>
      <s:c r="F26" s="2"/>
      <s:c r="G26" s="2"/>
    </s:row>
    <s:row r="27" spans="1:45">
      <s:c r="A27" s="11">
        <s:f>A24/A15</s:f>
        <s:v>0.10529045643153527</s:v>
      </s:c>
      <s:c r="B27" s="21">
        <s:f>A27</s:f>
        <s:v>0.10529045643153527</s:v>
      </s:c>
      <s:c r="C27" s="2"/>
      <s:c r="D27" s="2"/>
      <s:c r="E27" s="2"/>
      <s:c r="F27" s="2"/>
      <s:c r="G27" s="2"/>
    </s:row>
    <s:row r="28" spans="1:45">
      <s:c r="A28" s="2"/>
      <s:c r="B28" s="2"/>
      <s:c r="C28" s="2"/>
      <s:c r="D28" s="2"/>
      <s:c r="E28" s="2"/>
      <s:c r="F28" s="2"/>
      <s:c r="G28" s="2"/>
    </s:row>
    <s:row r="29" spans="1:45">
      <s:c r="A29" s="22" t="s">
        <s:v>22</s:v>
      </s:c>
      <s:c r="B29" s="22"/>
      <s:c r="C29" s="22"/>
      <s:c r="D29" s="2"/>
      <s:c r="E29" s="2"/>
      <s:c r="F29" s="2"/>
      <s:c r="G29" s="2"/>
    </s:row>
    <s:row r="30" spans="1:45">
      <s:c r="A30" s="33">
        <s:f>J12</s:f>
        <s:v>109.27734375</s:v>
      </s:c>
      <s:c r="B30" s="2"/>
      <s:c r="C30" s="2"/>
      <s:c r="D30" s="2"/>
      <s:c r="E30" s="2"/>
      <s:c r="F30" s="2"/>
      <s:c r="G30" s="2"/>
    </s:row>
    <s:row r="31" spans="1:45">
      <s:c r="A31" s="4"/>
      <s:c r="B31" s="5"/>
      <s:c r="C31" s="2"/>
      <s:c r="D31" s="3"/>
      <s:c r="E31" s="2"/>
      <s:c r="F31" s="2"/>
      <s:c r="G31" s="2"/>
    </s:row>
    <s:row r="32" spans="1:45">
      <s:c r="A32" s="20" t="s">
        <s:v>23</s:v>
      </s:c>
      <s:c r="B32" s="20"/>
      <s:c r="C32" s="20"/>
      <s:c r="D32" s="3"/>
      <s:c r="E32" s="2"/>
      <s:c r="F32" s="2"/>
      <s:c r="G32" s="2"/>
    </s:row>
    <s:row r="33" spans="1:7">
      <s:c r="A33" s="34">
        <s:f>SQRT(A30)</s:f>
        <s:v>10.453580427298581</s:v>
      </s:c>
      <s:c r="B33" s="2"/>
      <s:c r="C33" s="2"/>
      <s:c r="D33" s="2"/>
      <s:c r="E33" s="2"/>
      <s:c r="F33" s="2"/>
      <s:c r="G33" s="2"/>
    </s:row>
    <s:row r="34" spans="1:7">
      <s:c r="A34" s="5"/>
      <s:c r="B34" s="2"/>
      <s:c r="C34" s="2"/>
      <s:c r="D34" s="2"/>
      <s:c r="E34" s="2"/>
      <s:c r="F34" s="2"/>
      <s:c r="G34" s="2"/>
    </s:row>
    <s:row r="35" spans="1:7" ht="16.5" customHeight="1">
      <s:c r="A35" s="20" t="s">
        <s:v>24</s:v>
      </s:c>
      <s:c r="B35" s="20"/>
      <s:c r="C35" s="20"/>
      <s:c r="D35" s="2"/>
      <s:c r="E35" s="2"/>
      <s:c r="F35" s="2"/>
      <s:c r="G35" s="2"/>
    </s:row>
    <s:row r="36" spans="1:7" ht="15.75" customHeight="1">
      <s:c r="A36" s="11">
        <s:f>A33/A15</s:f>
        <s:v>0.13880272766537535</s:v>
      </s:c>
      <s:c r="B36" s="21">
        <s:f>A36</s:f>
        <s:v>0.13880272766537535</s:v>
      </s:c>
      <s:c r="C36" s="2"/>
      <s:c r="D36" s="2"/>
      <s:c r="E36" s="2"/>
      <s:c r="F36" s="2"/>
      <s:c r="G36" s="2"/>
    </s:row>
    <s:row r="37" spans="1:7">
      <s:c r="A37" s="2"/>
      <s:c r="B37" s="2"/>
      <s:c r="C37" s="2"/>
      <s:c r="D37" s="2"/>
      <s:c r="E37" s="2"/>
      <s:c r="F37" s="2"/>
      <s:c r="G37" s="2"/>
    </s:row>
    <s:row r="38" spans="1:7">
      <s:c r="A38" s="22" t="s">
        <s:v>25</s:v>
      </s:c>
      <s:c r="B38" s="22"/>
      <s:c r="C38" s="22"/>
      <s:c r="D38" s="22"/>
      <s:c r="E38" s="22"/>
      <s:c r="F38" s="2"/>
      <s:c r="G38" s="2"/>
    </s:row>
    <s:row r="39" spans="1:7">
      <s:c r="A39" s="2"/>
      <s:c r="B39" s="2"/>
      <s:c r="C39" s="2"/>
      <s:c r="D39" s="2"/>
      <s:c r="E39" s="2"/>
      <s:c r="F39" s="2"/>
      <s:c r="G39" s="2"/>
    </s:row>
    <s:row r="40" spans="1:7">
      <s:c r="A40" s="2" t="s">
        <s:v>26</s:v>
      </s:c>
      <s:c r="B40" s="5">
        <s:f>60+10*((E40-E7)/B8)</s:f>
        <s:v>67.5</s:v>
      </s:c>
      <s:c r="C40" s="2"/>
      <s:c r="D40" s="2" t="s">
        <s:v>27</s:v>
      </s:c>
      <s:c r="E40" s="2">
        <s:f>(1*$B$12)/4</s:f>
        <s:v>8</s:v>
      </s:c>
      <s:c r="F40" s="2"/>
      <s:c r="G40" s="2"/>
    </s:row>
    <s:row r="41" spans="1:7">
      <s:c r="A41" s="2" t="s">
        <s:v>28</s:v>
      </s:c>
      <s:c r="B41" s="5">
        <s:f>70+10*((E41-E8)/B9)</s:f>
        <s:v>75</s:v>
      </s:c>
      <s:c r="C41" s="2"/>
      <s:c r="D41" s="2" t="s">
        <s:v>29</s:v>
      </s:c>
      <s:c r="E41" s="35">
        <s:f>(2*$B$12)/4</s:f>
        <s:v>16</s:v>
      </s:c>
      <s:c r="F41" s="2"/>
      <s:c r="G41" s="2"/>
    </s:row>
    <s:row r="42" spans="1:7">
      <s:c r="A42" t="s">
        <s:v>30</s:v>
      </s:c>
      <s:c r="B42" s="36">
        <s:f>80+10*((E42-E9)/B10)</s:f>
        <s:v>82.857142857142861</s:v>
      </s:c>
      <s:c r="D42" t="s">
        <s:v>31</s:v>
      </s:c>
      <s:c r="E42" s="2">
        <s:f>(3*$B$12)/4</s:f>
        <s:v>24</s:v>
      </s:c>
    </s:row>
    <s:row r="44" spans="1:7">
      <s:c r="A44" s="37" t="s">
        <s:v>32</s:v>
      </s:c>
      <s:c r="B44" s="37"/>
    </s:row>
    <s:row r="45" spans="1:7">
      <s:c r="A45" s="39">
        <s:f>(B42-B40)/2</s:f>
        <s:v>7.6785714285714306</s:v>
      </s:c>
    </s:row>
    <s:row r="47" spans="1:7">
      <s:c r="A47" s="37" t="s">
        <s:v>33</s:v>
      </s:c>
      <s:c r="B47" s="37"/>
      <s:c r="C47" s="37"/>
    </s:row>
    <s:row r="48" spans="1:7">
      <s:c r="A48" s="38">
        <s:f>(B42-B40)/(2*B41)</s:f>
        <s:v>0.10238095238095241</s:v>
      </s:c>
      <s:c r="B48" s="40">
        <s:f>A48</s:f>
        <s:v>0.10238095238095241</s:v>
      </s:c>
    </s:row>
  </s:sheetData>
  <s:mergeCells count="11">
    <s:mergeCell ref="A44:B44"/>
    <s:mergeCell ref="A47:C47"/>
    <s:mergeCell ref="A23:C23"/>
    <s:mergeCell ref="A26:D26"/>
    <s:mergeCell ref="A29:C29"/>
    <s:mergeCell ref="A32:C32"/>
    <s:mergeCell ref="A35:C35"/>
    <s:mergeCell ref="A38:E38"/>
    <s:mergeCell ref="A14:B14"/>
    <s:mergeCell ref="A17:B17"/>
    <s:mergeCell ref="A20:C20"/>
  </s:mergeCell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>
  <ep:Application>Microsoft Excel Online</ep:Application>
  <ep:Manager/>
  <ep:Company/>
  <ep:HyperlinkBase/>
  <ep:AppVersion>16.0300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title/>
  <dc:subject/>
  <dc:creator/>
  <cp:keywords/>
  <dc:description/>
  <cp:lastModifiedBy/>
  <cp:revision/>
  <dcterms:created xsi:type="dcterms:W3CDTF">2025-12-29T16:36:02Z</dcterms:created>
  <dcterms:modified xsi:type="dcterms:W3CDTF">2025-12-29T18:05:01Z</dcterms:modified>
  <cp:category/>
  <cp:contentStatus/>
</cp:coreProperties>
</file>