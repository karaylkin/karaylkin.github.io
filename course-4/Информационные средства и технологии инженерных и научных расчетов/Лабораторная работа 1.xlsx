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B2983B7E-8116-46E8-927B-E3FC8122D46C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Задача 1" sheetId="1" r:id="rId1"/>
    <sheet name="Задача 2" sheetId="2" r:id="rId2"/>
    <sheet name="Задача 3" sheetId="3" r:id="rId3"/>
    <sheet name="Задача 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D6" i="4"/>
  <c r="D7" i="4"/>
  <c r="D8" i="4"/>
  <c r="D9" i="4"/>
  <c r="D5" i="4"/>
  <c r="C9" i="4"/>
  <c r="B9" i="4"/>
  <c r="B19" i="2"/>
  <c r="B18" i="2"/>
  <c r="B17" i="2"/>
  <c r="B16" i="2"/>
  <c r="B15" i="2"/>
  <c r="B13" i="2"/>
  <c r="C9" i="3"/>
  <c r="D9" i="3" s="1"/>
  <c r="E9" i="3" s="1"/>
  <c r="F9" i="3" s="1"/>
  <c r="C8" i="3"/>
  <c r="D8" i="3" s="1"/>
  <c r="E8" i="3" s="1"/>
  <c r="F8" i="3" s="1"/>
  <c r="C7" i="3"/>
  <c r="D7" i="3" s="1"/>
  <c r="E7" i="3" s="1"/>
  <c r="F7" i="3" s="1"/>
  <c r="C6" i="3"/>
  <c r="D6" i="3" s="1"/>
  <c r="E6" i="3" s="1"/>
  <c r="F6" i="3" s="1"/>
  <c r="F10" i="3" s="1"/>
  <c r="B10" i="3"/>
  <c r="B14" i="2" s="1"/>
  <c r="E6" i="2"/>
  <c r="E7" i="2" s="1"/>
  <c r="E8" i="2" s="1"/>
  <c r="E9" i="2" s="1"/>
  <c r="B10" i="2"/>
  <c r="C9" i="2"/>
  <c r="D9" i="2" s="1"/>
  <c r="C8" i="2"/>
  <c r="D8" i="2" s="1"/>
  <c r="C7" i="2"/>
  <c r="D7" i="2" s="1"/>
  <c r="C6" i="2"/>
  <c r="D6" i="2" s="1"/>
  <c r="D10" i="2" s="1"/>
  <c r="B12" i="2" s="1"/>
  <c r="B16" i="1"/>
  <c r="C16" i="1" s="1"/>
  <c r="B33" i="1" s="1"/>
  <c r="C33" i="1" s="1"/>
  <c r="B17" i="1"/>
  <c r="C17" i="1" s="1"/>
  <c r="B34" i="1" s="1"/>
  <c r="C34" i="1" s="1"/>
  <c r="B18" i="1"/>
  <c r="C18" i="1" s="1"/>
  <c r="B35" i="1" s="1"/>
  <c r="C35" i="1" s="1"/>
  <c r="B19" i="1"/>
  <c r="C19" i="1" s="1"/>
  <c r="B36" i="1" s="1"/>
  <c r="C36" i="1" s="1"/>
  <c r="B20" i="1"/>
  <c r="C20" i="1" s="1"/>
  <c r="B37" i="1" s="1"/>
  <c r="C37" i="1" s="1"/>
  <c r="B15" i="1"/>
  <c r="B8" i="1"/>
  <c r="R6" i="1"/>
  <c r="B12" i="3" l="1"/>
  <c r="B13" i="3" s="1"/>
  <c r="D15" i="1"/>
  <c r="D16" i="1" s="1"/>
  <c r="D17" i="1" s="1"/>
  <c r="D18" i="1" s="1"/>
  <c r="D19" i="1" s="1"/>
  <c r="D20" i="1" s="1"/>
  <c r="B21" i="1"/>
  <c r="C15" i="1"/>
  <c r="C21" i="1" l="1"/>
  <c r="B32" i="1"/>
  <c r="C32" i="1" s="1"/>
  <c r="C38" i="1" s="1"/>
  <c r="B25" i="1" s="1"/>
  <c r="B23" i="1" l="1"/>
  <c r="B38" i="1"/>
  <c r="B40" i="1" s="1"/>
</calcChain>
</file>

<file path=xl/sharedStrings.xml><?xml version="1.0" encoding="utf-8"?>
<sst xmlns="http://schemas.openxmlformats.org/spreadsheetml/2006/main" count="104" uniqueCount="69">
  <si>
    <t>ЗАДАЧА 1</t>
  </si>
  <si>
    <t>Расчет средней арифметической в дискретном вариативном ряде</t>
  </si>
  <si>
    <t>Зараплатная плата служащих отдела</t>
  </si>
  <si>
    <t>Табл. 1</t>
  </si>
  <si>
    <t>№ служащего</t>
  </si>
  <si>
    <t>Итого</t>
  </si>
  <si>
    <t>ЗП, тыс. руб, Xi</t>
  </si>
  <si>
    <t>Средня ЗП</t>
  </si>
  <si>
    <t>Сгруппировать и построить дискретный вариационный ряд</t>
  </si>
  <si>
    <t>Табл. 2</t>
  </si>
  <si>
    <t>Исходные данные</t>
  </si>
  <si>
    <t>Расчетные показатели</t>
  </si>
  <si>
    <t>Уровень ЗП (тыс. руб)</t>
  </si>
  <si>
    <t>Численность служащих (чел.)</t>
  </si>
  <si>
    <t>Фонд ЗП (тыс. руб)</t>
  </si>
  <si>
    <t>Накопленные частоты</t>
  </si>
  <si>
    <t>Xi</t>
  </si>
  <si>
    <t>Fi</t>
  </si>
  <si>
    <t>XiFi</t>
  </si>
  <si>
    <t>Si</t>
  </si>
  <si>
    <t>Средний уровень ЗП</t>
  </si>
  <si>
    <t xml:space="preserve"> </t>
  </si>
  <si>
    <t>Мода</t>
  </si>
  <si>
    <t>Nme</t>
  </si>
  <si>
    <t>-&gt; 10 -&gt; 25 тыс. руб</t>
  </si>
  <si>
    <t>ЗАДАЧА 1. ДРУГИЕ ИСХОДНЫЕ ДАННЫЕ</t>
  </si>
  <si>
    <t>Расчет средней гармонической в дискретном вариационном ряду</t>
  </si>
  <si>
    <t>Табл. 3</t>
  </si>
  <si>
    <t>Fi/Xi</t>
  </si>
  <si>
    <t>ЗАДАЧА 2</t>
  </si>
  <si>
    <t>Расчет средней арифметической в интервальной вариационном ряде</t>
  </si>
  <si>
    <t>Табл. 4</t>
  </si>
  <si>
    <t>Группа организаций по объему товарооборота, тыс. руб</t>
  </si>
  <si>
    <t>Число организаций</t>
  </si>
  <si>
    <t>Середина интервала</t>
  </si>
  <si>
    <t>Произведение вариантов на частоты</t>
  </si>
  <si>
    <t>FiXi</t>
  </si>
  <si>
    <t>A</t>
  </si>
  <si>
    <t>1200-1225</t>
  </si>
  <si>
    <t>d</t>
  </si>
  <si>
    <t>1225-1250</t>
  </si>
  <si>
    <t>1250-1275</t>
  </si>
  <si>
    <t>1275-1300</t>
  </si>
  <si>
    <t>Среднее</t>
  </si>
  <si>
    <t>-&gt; 110 -&gt; 1250-1275</t>
  </si>
  <si>
    <t>Me</t>
  </si>
  <si>
    <t>Nq3</t>
  </si>
  <si>
    <t>Q3</t>
  </si>
  <si>
    <t>Nd8</t>
  </si>
  <si>
    <t>D8</t>
  </si>
  <si>
    <t>ЗАДАЧА 3</t>
  </si>
  <si>
    <t>Расчет средней арифметической в интервальном вариационном ряду</t>
  </si>
  <si>
    <t>Табл. 5</t>
  </si>
  <si>
    <t>A = 1262,5</t>
  </si>
  <si>
    <t>d = 25</t>
  </si>
  <si>
    <t>Xi-A</t>
  </si>
  <si>
    <t>(Xi-A)/d</t>
  </si>
  <si>
    <t>Fi(Xi-A)/d</t>
  </si>
  <si>
    <t>Момент 1-ого порядка</t>
  </si>
  <si>
    <t>ЗАДАЧА 4</t>
  </si>
  <si>
    <t>Вычисление среднего значения альтернативного признака</t>
  </si>
  <si>
    <t>Табл. 6</t>
  </si>
  <si>
    <t>№ группы</t>
  </si>
  <si>
    <t>Численность студентов</t>
  </si>
  <si>
    <t>Уровень посещаемости в группе, %</t>
  </si>
  <si>
    <t>в группе</t>
  </si>
  <si>
    <t>присутствующие на занятиях</t>
  </si>
  <si>
    <t>Средний уровень посещаемости</t>
  </si>
  <si>
    <t>-&gt;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</si>
</sst>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0" borderId="0" xfId="0" applyFont="1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3" borderId="4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right"/>
    </xf>
    <xf numFmtId="3" fontId="0" fillId="0" borderId="1" xfId="0" applyNumberFormat="1" applyBorder="1"/>
    <xf numFmtId="0" fontId="1" fillId="2" borderId="4" xfId="0" applyFont="1" applyFill="1" applyBorder="1" applyAlignment="1">
      <alignment horizontal="right" wrapText="1"/>
    </xf>
    <xf numFmtId="0" fontId="0" fillId="0" borderId="4" xfId="0" applyBorder="1"/>
    <xf numFmtId="0" fontId="1" fillId="2" borderId="4" xfId="0" applyFont="1" applyFill="1" applyBorder="1" applyAlignment="1">
      <alignment horizontal="right"/>
    </xf>
    <xf numFmtId="0" fontId="0" fillId="0" borderId="7" xfId="0" applyBorder="1" applyAlignment="1">
      <alignment horizontal="left" wrapText="1"/>
    </xf>
    <xf numFmtId="10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opLeftCell="A11" workbookViewId="0">
      <selection activeCell="E23" sqref="E23"/>
    </sheetView>
  </sheetViews>
  <sheetFormatPr defaultRowHeight="15"/>
  <cols>
    <col min="1" max="1" width="17.28515625" customWidth="1"/>
    <col min="2" max="2" width="16.28515625" customWidth="1"/>
    <col min="3" max="3" width="15.5703125" customWidth="1"/>
    <col min="4" max="4" width="15.7109375" customWidth="1"/>
  </cols>
  <sheetData>
    <row r="1" spans="1:18" ht="18" customHeight="1">
      <c r="A1" s="17" t="s">
        <v>0</v>
      </c>
      <c r="B1" s="42" t="s">
        <v>1</v>
      </c>
      <c r="C1" s="42"/>
      <c r="D1" s="42"/>
      <c r="E1" s="42"/>
      <c r="F1" s="42"/>
      <c r="G1" s="3"/>
    </row>
    <row r="3" spans="1:18">
      <c r="A3" s="2" t="s">
        <v>2</v>
      </c>
      <c r="B3" s="2"/>
      <c r="C3" s="16"/>
      <c r="D3" s="16"/>
    </row>
    <row r="4" spans="1:18">
      <c r="A4" t="s">
        <v>3</v>
      </c>
    </row>
    <row r="5" spans="1:18" ht="21.75" customHeight="1">
      <c r="A5" s="9" t="s">
        <v>4</v>
      </c>
      <c r="B5" s="10">
        <v>1</v>
      </c>
      <c r="C5" s="10">
        <v>2</v>
      </c>
      <c r="D5" s="10">
        <v>3</v>
      </c>
      <c r="E5" s="10">
        <v>4</v>
      </c>
      <c r="F5" s="10">
        <v>5</v>
      </c>
      <c r="G5" s="10">
        <v>6</v>
      </c>
      <c r="H5" s="10">
        <v>7</v>
      </c>
      <c r="I5" s="10">
        <v>8</v>
      </c>
      <c r="J5" s="10">
        <v>9</v>
      </c>
      <c r="K5" s="10">
        <v>10</v>
      </c>
      <c r="L5" s="10">
        <v>11</v>
      </c>
      <c r="M5" s="10">
        <v>12</v>
      </c>
      <c r="N5" s="10">
        <v>13</v>
      </c>
      <c r="O5" s="10">
        <v>14</v>
      </c>
      <c r="P5" s="10">
        <v>15</v>
      </c>
      <c r="Q5" s="10">
        <v>16</v>
      </c>
      <c r="R5" s="20" t="s">
        <v>5</v>
      </c>
    </row>
    <row r="6" spans="1:18" ht="23.25" customHeight="1">
      <c r="A6" s="9" t="s">
        <v>6</v>
      </c>
      <c r="B6" s="10">
        <v>15</v>
      </c>
      <c r="C6" s="10">
        <v>15</v>
      </c>
      <c r="D6" s="10">
        <v>18</v>
      </c>
      <c r="E6" s="10">
        <v>18</v>
      </c>
      <c r="F6" s="10">
        <v>18</v>
      </c>
      <c r="G6" s="10">
        <v>25</v>
      </c>
      <c r="H6" s="10">
        <v>25</v>
      </c>
      <c r="I6" s="10">
        <v>25</v>
      </c>
      <c r="J6" s="10">
        <v>25</v>
      </c>
      <c r="K6" s="10">
        <v>25</v>
      </c>
      <c r="L6" s="10">
        <v>29</v>
      </c>
      <c r="M6" s="10">
        <v>29</v>
      </c>
      <c r="N6" s="10">
        <v>29</v>
      </c>
      <c r="O6" s="10">
        <v>36</v>
      </c>
      <c r="P6" s="10">
        <v>36</v>
      </c>
      <c r="Q6" s="10">
        <v>40</v>
      </c>
      <c r="R6" s="10">
        <f>SUM(B6:Q6)</f>
        <v>408</v>
      </c>
    </row>
    <row r="8" spans="1:18">
      <c r="A8" s="18" t="s">
        <v>7</v>
      </c>
      <c r="B8" s="19">
        <f>SUM(B6:Q6)/Q5</f>
        <v>25.5</v>
      </c>
    </row>
    <row r="10" spans="1:18" ht="15" customHeight="1">
      <c r="A10" s="8" t="s">
        <v>8</v>
      </c>
      <c r="B10" s="8"/>
      <c r="C10" s="8"/>
      <c r="D10" s="8"/>
      <c r="E10" s="15"/>
      <c r="F10" s="15"/>
    </row>
    <row r="11" spans="1:18">
      <c r="A11" t="s">
        <v>9</v>
      </c>
    </row>
    <row r="12" spans="1:18">
      <c r="A12" s="12" t="s">
        <v>10</v>
      </c>
      <c r="B12" s="12"/>
      <c r="C12" s="13" t="s">
        <v>11</v>
      </c>
      <c r="D12" s="13"/>
    </row>
    <row r="13" spans="1:18" ht="43.5">
      <c r="A13" s="14" t="s">
        <v>12</v>
      </c>
      <c r="B13" s="14" t="s">
        <v>13</v>
      </c>
      <c r="C13" s="21" t="s">
        <v>14</v>
      </c>
      <c r="D13" s="21" t="s">
        <v>15</v>
      </c>
    </row>
    <row r="14" spans="1:18">
      <c r="A14" s="10" t="s">
        <v>16</v>
      </c>
      <c r="B14" s="10" t="s">
        <v>17</v>
      </c>
      <c r="C14" s="10" t="s">
        <v>18</v>
      </c>
      <c r="D14" s="10" t="s">
        <v>19</v>
      </c>
    </row>
    <row r="15" spans="1:18">
      <c r="A15" s="10">
        <v>15</v>
      </c>
      <c r="B15" s="11">
        <f>COUNTIF($B$6:$Q$6,$A15)</f>
        <v>2</v>
      </c>
      <c r="C15" s="10">
        <f>A15*B15</f>
        <v>30</v>
      </c>
      <c r="D15" s="5">
        <f>B15</f>
        <v>2</v>
      </c>
    </row>
    <row r="16" spans="1:18">
      <c r="A16" s="10">
        <v>18</v>
      </c>
      <c r="B16" s="11">
        <f t="shared" ref="B16:B20" si="0">COUNTIF($B$6:$Q$6,$A16)</f>
        <v>3</v>
      </c>
      <c r="C16" s="10">
        <f t="shared" ref="C16:C20" si="1">A16*B16</f>
        <v>54</v>
      </c>
      <c r="D16" s="5">
        <f>D15+B16</f>
        <v>5</v>
      </c>
    </row>
    <row r="17" spans="1:9">
      <c r="A17" s="10">
        <v>25</v>
      </c>
      <c r="B17" s="11">
        <f t="shared" si="0"/>
        <v>5</v>
      </c>
      <c r="C17" s="10">
        <f t="shared" si="1"/>
        <v>125</v>
      </c>
      <c r="D17" s="5">
        <f>D16+B17</f>
        <v>10</v>
      </c>
    </row>
    <row r="18" spans="1:9">
      <c r="A18" s="10">
        <v>29</v>
      </c>
      <c r="B18" s="11">
        <f t="shared" si="0"/>
        <v>3</v>
      </c>
      <c r="C18" s="10">
        <f t="shared" si="1"/>
        <v>87</v>
      </c>
      <c r="D18" s="5">
        <f>D17+B18</f>
        <v>13</v>
      </c>
    </row>
    <row r="19" spans="1:9">
      <c r="A19" s="10">
        <v>36</v>
      </c>
      <c r="B19" s="11">
        <f t="shared" si="0"/>
        <v>2</v>
      </c>
      <c r="C19" s="10">
        <f t="shared" si="1"/>
        <v>72</v>
      </c>
      <c r="D19" s="5">
        <f>D18+B19</f>
        <v>15</v>
      </c>
    </row>
    <row r="20" spans="1:9">
      <c r="A20" s="10">
        <v>40</v>
      </c>
      <c r="B20" s="11">
        <f t="shared" si="0"/>
        <v>1</v>
      </c>
      <c r="C20" s="10">
        <f t="shared" si="1"/>
        <v>40</v>
      </c>
      <c r="D20" s="5">
        <f>D19+B20</f>
        <v>16</v>
      </c>
    </row>
    <row r="21" spans="1:9">
      <c r="A21" s="39" t="s">
        <v>5</v>
      </c>
      <c r="B21" s="10">
        <f>SUM(B15:B20)</f>
        <v>16</v>
      </c>
      <c r="C21" s="10">
        <f>SUM(C15:C20)</f>
        <v>408</v>
      </c>
      <c r="D21" s="5"/>
    </row>
    <row r="23" spans="1:9" ht="29.25">
      <c r="A23" s="45" t="s">
        <v>20</v>
      </c>
      <c r="B23" s="46">
        <f>C21/B21</f>
        <v>25.5</v>
      </c>
      <c r="D23" t="s">
        <v>21</v>
      </c>
    </row>
    <row r="24" spans="1:9">
      <c r="A24" s="40" t="s">
        <v>22</v>
      </c>
      <c r="B24" s="44">
        <v>25000</v>
      </c>
    </row>
    <row r="25" spans="1:9" ht="17.25" customHeight="1">
      <c r="A25" s="40" t="s">
        <v>23</v>
      </c>
      <c r="B25" s="4">
        <f>C38/2</f>
        <v>8</v>
      </c>
      <c r="C25" s="48" t="s">
        <v>24</v>
      </c>
      <c r="D25" s="42"/>
    </row>
    <row r="27" spans="1:9" ht="18.75" customHeight="1">
      <c r="A27" s="24" t="s">
        <v>25</v>
      </c>
      <c r="B27" s="24"/>
      <c r="C27" s="24"/>
      <c r="D27" s="23" t="s">
        <v>26</v>
      </c>
      <c r="E27" s="23"/>
      <c r="F27" s="23"/>
      <c r="G27" s="23"/>
      <c r="H27" s="23"/>
      <c r="I27" s="23"/>
    </row>
    <row r="28" spans="1:9">
      <c r="A28" t="s">
        <v>27</v>
      </c>
    </row>
    <row r="29" spans="1:9">
      <c r="A29" s="12" t="s">
        <v>10</v>
      </c>
      <c r="B29" s="12"/>
      <c r="C29" s="13" t="s">
        <v>11</v>
      </c>
      <c r="D29" s="13"/>
    </row>
    <row r="30" spans="1:9" ht="29.25">
      <c r="A30" s="28" t="s">
        <v>12</v>
      </c>
      <c r="B30" s="28" t="s">
        <v>14</v>
      </c>
      <c r="C30" s="25" t="s">
        <v>13</v>
      </c>
      <c r="D30" s="26"/>
    </row>
    <row r="31" spans="1:9">
      <c r="A31" s="29" t="s">
        <v>16</v>
      </c>
      <c r="B31" s="29" t="s">
        <v>17</v>
      </c>
      <c r="C31" s="27" t="s">
        <v>28</v>
      </c>
      <c r="D31" s="27"/>
    </row>
    <row r="32" spans="1:9">
      <c r="A32" s="10">
        <v>15</v>
      </c>
      <c r="B32" s="29">
        <f>C15</f>
        <v>30</v>
      </c>
      <c r="C32" s="27">
        <f>B32/A32</f>
        <v>2</v>
      </c>
      <c r="D32" s="27"/>
    </row>
    <row r="33" spans="1:4">
      <c r="A33" s="10">
        <v>18</v>
      </c>
      <c r="B33" s="29">
        <f t="shared" ref="B33:D38" si="2">C16</f>
        <v>54</v>
      </c>
      <c r="C33" s="27">
        <f t="shared" ref="C33:C37" si="3">B33/A33</f>
        <v>3</v>
      </c>
      <c r="D33" s="27"/>
    </row>
    <row r="34" spans="1:4">
      <c r="A34" s="10">
        <v>25</v>
      </c>
      <c r="B34" s="29">
        <f t="shared" si="2"/>
        <v>125</v>
      </c>
      <c r="C34" s="27">
        <f t="shared" si="3"/>
        <v>5</v>
      </c>
      <c r="D34" s="27"/>
    </row>
    <row r="35" spans="1:4">
      <c r="A35" s="10">
        <v>29</v>
      </c>
      <c r="B35" s="29">
        <f t="shared" si="2"/>
        <v>87</v>
      </c>
      <c r="C35" s="27">
        <f t="shared" si="3"/>
        <v>3</v>
      </c>
      <c r="D35" s="27"/>
    </row>
    <row r="36" spans="1:4">
      <c r="A36" s="10">
        <v>36</v>
      </c>
      <c r="B36" s="29">
        <f t="shared" si="2"/>
        <v>72</v>
      </c>
      <c r="C36" s="27">
        <f t="shared" si="3"/>
        <v>2</v>
      </c>
      <c r="D36" s="27"/>
    </row>
    <row r="37" spans="1:4">
      <c r="A37" s="10">
        <v>40</v>
      </c>
      <c r="B37" s="29">
        <f t="shared" si="2"/>
        <v>40</v>
      </c>
      <c r="C37" s="27">
        <f t="shared" si="3"/>
        <v>1</v>
      </c>
      <c r="D37" s="27"/>
    </row>
    <row r="38" spans="1:4">
      <c r="A38" s="39" t="s">
        <v>5</v>
      </c>
      <c r="B38" s="29">
        <f t="shared" si="2"/>
        <v>408</v>
      </c>
      <c r="C38" s="27">
        <f>SUM(C32:D37)</f>
        <v>16</v>
      </c>
      <c r="D38" s="27"/>
    </row>
    <row r="40" spans="1:4" ht="29.25">
      <c r="A40" s="22" t="s">
        <v>20</v>
      </c>
      <c r="B40" s="4">
        <f>B38/C38</f>
        <v>25.5</v>
      </c>
    </row>
  </sheetData>
  <mergeCells count="19">
    <mergeCell ref="C25:D25"/>
    <mergeCell ref="C32:D32"/>
    <mergeCell ref="C33:D33"/>
    <mergeCell ref="C34:D34"/>
    <mergeCell ref="C35:D35"/>
    <mergeCell ref="C36:D36"/>
    <mergeCell ref="C37:D37"/>
    <mergeCell ref="C38:D38"/>
    <mergeCell ref="A27:C27"/>
    <mergeCell ref="A29:B29"/>
    <mergeCell ref="C29:D29"/>
    <mergeCell ref="C30:D30"/>
    <mergeCell ref="C31:D31"/>
    <mergeCell ref="D27:I27"/>
    <mergeCell ref="A12:B12"/>
    <mergeCell ref="C12:D12"/>
    <mergeCell ref="A10:D10"/>
    <mergeCell ref="A3:B3"/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D5D37-D0D6-4016-87B7-B0529639AF94}">
  <dimension ref="A1:H19"/>
  <sheetViews>
    <sheetView workbookViewId="0">
      <selection activeCell="D17" sqref="D17"/>
    </sheetView>
  </sheetViews>
  <sheetFormatPr defaultRowHeight="15"/>
  <cols>
    <col min="1" max="1" width="22.42578125" customWidth="1"/>
    <col min="2" max="2" width="18.42578125" customWidth="1"/>
    <col min="3" max="3" width="19" customWidth="1"/>
    <col min="4" max="4" width="21.28515625" customWidth="1"/>
    <col min="5" max="5" width="20.5703125" bestFit="1" customWidth="1"/>
  </cols>
  <sheetData>
    <row r="1" spans="1:8">
      <c r="A1" s="6" t="s">
        <v>29</v>
      </c>
      <c r="B1" s="41" t="s">
        <v>30</v>
      </c>
      <c r="C1" s="41"/>
      <c r="D1" s="41"/>
      <c r="E1" s="41"/>
    </row>
    <row r="2" spans="1:8">
      <c r="A2" t="s">
        <v>31</v>
      </c>
    </row>
    <row r="3" spans="1:8">
      <c r="A3" s="31" t="s">
        <v>10</v>
      </c>
      <c r="B3" s="31"/>
      <c r="C3" s="35" t="s">
        <v>11</v>
      </c>
      <c r="D3" s="35"/>
      <c r="E3" s="35"/>
    </row>
    <row r="4" spans="1:8" ht="48.75" customHeight="1">
      <c r="A4" s="32" t="s">
        <v>32</v>
      </c>
      <c r="B4" s="34" t="s">
        <v>33</v>
      </c>
      <c r="C4" s="37" t="s">
        <v>34</v>
      </c>
      <c r="D4" s="38" t="s">
        <v>35</v>
      </c>
      <c r="E4" s="37" t="s">
        <v>15</v>
      </c>
    </row>
    <row r="5" spans="1:8">
      <c r="A5" s="30"/>
      <c r="B5" s="30" t="s">
        <v>17</v>
      </c>
      <c r="C5" s="36" t="s">
        <v>16</v>
      </c>
      <c r="D5" s="36" t="s">
        <v>36</v>
      </c>
      <c r="E5" s="36" t="s">
        <v>19</v>
      </c>
      <c r="G5" s="40" t="s">
        <v>37</v>
      </c>
      <c r="H5" s="4">
        <v>1262.5</v>
      </c>
    </row>
    <row r="6" spans="1:8">
      <c r="A6" s="30" t="s">
        <v>38</v>
      </c>
      <c r="B6" s="30">
        <v>20</v>
      </c>
      <c r="C6" s="30">
        <f>(1200+1225)/2</f>
        <v>1212.5</v>
      </c>
      <c r="D6" s="30">
        <f>B6*C6</f>
        <v>24250</v>
      </c>
      <c r="E6" s="30">
        <f>B6</f>
        <v>20</v>
      </c>
      <c r="G6" s="40" t="s">
        <v>39</v>
      </c>
      <c r="H6" s="4">
        <v>25</v>
      </c>
    </row>
    <row r="7" spans="1:8">
      <c r="A7" s="30" t="s">
        <v>40</v>
      </c>
      <c r="B7" s="30">
        <v>40</v>
      </c>
      <c r="C7" s="30">
        <f>(1225+1250)/2</f>
        <v>1237.5</v>
      </c>
      <c r="D7" s="30">
        <f t="shared" ref="D7:D9" si="0">B7*C7</f>
        <v>49500</v>
      </c>
      <c r="E7" s="30">
        <f>E6+B7</f>
        <v>60</v>
      </c>
    </row>
    <row r="8" spans="1:8">
      <c r="A8" s="30" t="s">
        <v>41</v>
      </c>
      <c r="B8" s="30">
        <v>50</v>
      </c>
      <c r="C8" s="30">
        <f>(1250+1275)/2</f>
        <v>1262.5</v>
      </c>
      <c r="D8" s="30">
        <f t="shared" si="0"/>
        <v>63125</v>
      </c>
      <c r="E8" s="30">
        <f>E7+B8</f>
        <v>110</v>
      </c>
    </row>
    <row r="9" spans="1:8">
      <c r="A9" s="30" t="s">
        <v>42</v>
      </c>
      <c r="B9" s="30">
        <v>30</v>
      </c>
      <c r="C9" s="30">
        <f>(1275+1300)/2</f>
        <v>1287.5</v>
      </c>
      <c r="D9" s="30">
        <f t="shared" si="0"/>
        <v>38625</v>
      </c>
      <c r="E9" s="30">
        <f>E8+B9</f>
        <v>140</v>
      </c>
    </row>
    <row r="10" spans="1:8">
      <c r="A10" s="39" t="s">
        <v>5</v>
      </c>
      <c r="B10" s="30">
        <f>SUM(B6:B9)</f>
        <v>140</v>
      </c>
      <c r="C10" s="30"/>
      <c r="D10" s="30">
        <f>SUM(D6:D9)</f>
        <v>175500</v>
      </c>
      <c r="E10" s="30"/>
    </row>
    <row r="12" spans="1:8">
      <c r="A12" s="47" t="s">
        <v>43</v>
      </c>
      <c r="B12" s="46">
        <f>D10/B10</f>
        <v>1253.5714285714287</v>
      </c>
    </row>
    <row r="13" spans="1:8">
      <c r="A13" s="40" t="s">
        <v>22</v>
      </c>
      <c r="B13" s="4">
        <f>1250+H6*((B8-B7)/((B8-B7)+(B8-B9)))</f>
        <v>1258.3333333333333</v>
      </c>
    </row>
    <row r="14" spans="1:8">
      <c r="A14" s="47" t="s">
        <v>23</v>
      </c>
      <c r="B14" s="46">
        <f>'Задача 3'!B10/2</f>
        <v>70</v>
      </c>
      <c r="C14" t="s">
        <v>44</v>
      </c>
    </row>
    <row r="15" spans="1:8">
      <c r="A15" s="47" t="s">
        <v>45</v>
      </c>
      <c r="B15" s="46">
        <f>1250+H6*((B14-E7)/B8)</f>
        <v>1255</v>
      </c>
    </row>
    <row r="16" spans="1:8">
      <c r="A16" s="40" t="s">
        <v>46</v>
      </c>
      <c r="B16" s="4">
        <f>(3*B10)/4</f>
        <v>105</v>
      </c>
    </row>
    <row r="17" spans="1:2">
      <c r="A17" s="47" t="s">
        <v>47</v>
      </c>
      <c r="B17" s="46">
        <f>1250+H6*((B16-E7)/(B8))</f>
        <v>1272.5</v>
      </c>
    </row>
    <row r="18" spans="1:2">
      <c r="A18" s="40" t="s">
        <v>48</v>
      </c>
      <c r="B18" s="4">
        <f>(8*B10)/10</f>
        <v>112</v>
      </c>
    </row>
    <row r="19" spans="1:2">
      <c r="A19" s="40" t="s">
        <v>49</v>
      </c>
      <c r="B19" s="4">
        <f>1275+H6*((B18-E8)/B9)</f>
        <v>1276.6666666666667</v>
      </c>
    </row>
  </sheetData>
  <mergeCells count="3">
    <mergeCell ref="A3:B3"/>
    <mergeCell ref="B1:E1"/>
    <mergeCell ref="C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C593-0695-4B00-9D23-83D8D68322A6}">
  <dimension ref="A1:I13"/>
  <sheetViews>
    <sheetView workbookViewId="0">
      <selection activeCell="A13" sqref="A13:B13"/>
    </sheetView>
  </sheetViews>
  <sheetFormatPr defaultRowHeight="15"/>
  <cols>
    <col min="1" max="1" width="22.85546875" customWidth="1"/>
    <col min="2" max="2" width="19.7109375" customWidth="1"/>
    <col min="3" max="3" width="14.42578125" customWidth="1"/>
    <col min="4" max="4" width="9.85546875" bestFit="1" customWidth="1"/>
  </cols>
  <sheetData>
    <row r="1" spans="1:9">
      <c r="A1" s="43" t="s">
        <v>50</v>
      </c>
      <c r="B1" s="1" t="s">
        <v>51</v>
      </c>
      <c r="C1" s="1"/>
      <c r="D1" s="1"/>
      <c r="E1" s="1"/>
      <c r="F1" s="1"/>
      <c r="G1" s="1"/>
      <c r="H1" s="1"/>
    </row>
    <row r="2" spans="1:9">
      <c r="A2" t="s">
        <v>52</v>
      </c>
    </row>
    <row r="3" spans="1:9">
      <c r="A3" s="31" t="s">
        <v>10</v>
      </c>
      <c r="B3" s="31"/>
      <c r="C3" s="31" t="s">
        <v>11</v>
      </c>
      <c r="D3" s="31"/>
      <c r="E3" s="31"/>
      <c r="F3" s="31"/>
    </row>
    <row r="4" spans="1:9" ht="54.75" customHeight="1">
      <c r="A4" s="32" t="s">
        <v>32</v>
      </c>
      <c r="B4" s="33" t="s">
        <v>33</v>
      </c>
      <c r="C4" s="38" t="s">
        <v>34</v>
      </c>
      <c r="D4" s="37" t="s">
        <v>53</v>
      </c>
      <c r="E4" s="37" t="s">
        <v>54</v>
      </c>
      <c r="F4" s="37"/>
    </row>
    <row r="5" spans="1:9">
      <c r="A5" s="10"/>
      <c r="B5" s="10" t="s">
        <v>17</v>
      </c>
      <c r="C5" s="10" t="s">
        <v>16</v>
      </c>
      <c r="D5" s="10" t="s">
        <v>55</v>
      </c>
      <c r="E5" s="10" t="s">
        <v>56</v>
      </c>
      <c r="F5" s="10" t="s">
        <v>57</v>
      </c>
      <c r="H5" s="40" t="s">
        <v>37</v>
      </c>
      <c r="I5" s="4">
        <v>1262.5</v>
      </c>
    </row>
    <row r="6" spans="1:9">
      <c r="A6" s="30" t="s">
        <v>38</v>
      </c>
      <c r="B6" s="30">
        <v>20</v>
      </c>
      <c r="C6" s="10">
        <f>(1200+1225)/2</f>
        <v>1212.5</v>
      </c>
      <c r="D6" s="10">
        <f>C6-$I$5</f>
        <v>-50</v>
      </c>
      <c r="E6" s="10">
        <f>D6/$I$6</f>
        <v>-2</v>
      </c>
      <c r="F6" s="10">
        <f>E6*B6</f>
        <v>-40</v>
      </c>
      <c r="H6" s="40" t="s">
        <v>39</v>
      </c>
      <c r="I6" s="4">
        <v>25</v>
      </c>
    </row>
    <row r="7" spans="1:9">
      <c r="A7" s="30" t="s">
        <v>40</v>
      </c>
      <c r="B7" s="30">
        <v>40</v>
      </c>
      <c r="C7" s="10">
        <f>(1250+1225)/2</f>
        <v>1237.5</v>
      </c>
      <c r="D7" s="10">
        <f>C7-$I$5</f>
        <v>-25</v>
      </c>
      <c r="E7" s="10">
        <f t="shared" ref="E7:E9" si="0">D7/$I$6</f>
        <v>-1</v>
      </c>
      <c r="F7" s="10">
        <f t="shared" ref="F7:F9" si="1">E7*B7</f>
        <v>-40</v>
      </c>
    </row>
    <row r="8" spans="1:9">
      <c r="A8" s="30" t="s">
        <v>41</v>
      </c>
      <c r="B8" s="30">
        <v>50</v>
      </c>
      <c r="C8" s="10">
        <f>(1250+1275)/2</f>
        <v>1262.5</v>
      </c>
      <c r="D8" s="10">
        <f>C8-$I$5</f>
        <v>0</v>
      </c>
      <c r="E8" s="10">
        <f t="shared" si="0"/>
        <v>0</v>
      </c>
      <c r="F8" s="10">
        <f t="shared" si="1"/>
        <v>0</v>
      </c>
    </row>
    <row r="9" spans="1:9">
      <c r="A9" s="30" t="s">
        <v>42</v>
      </c>
      <c r="B9" s="30">
        <v>30</v>
      </c>
      <c r="C9" s="10">
        <f>(1275+1300)/2</f>
        <v>1287.5</v>
      </c>
      <c r="D9" s="10">
        <f>C9-$I$5</f>
        <v>25</v>
      </c>
      <c r="E9" s="10">
        <f t="shared" si="0"/>
        <v>1</v>
      </c>
      <c r="F9" s="10">
        <f t="shared" si="1"/>
        <v>30</v>
      </c>
    </row>
    <row r="10" spans="1:9">
      <c r="A10" s="39" t="s">
        <v>5</v>
      </c>
      <c r="B10" s="30">
        <f>SUM(B6:B9)</f>
        <v>140</v>
      </c>
      <c r="C10" s="10"/>
      <c r="D10" s="10"/>
      <c r="E10" s="10"/>
      <c r="F10" s="10">
        <f>SUM(F6:F9)</f>
        <v>-50</v>
      </c>
    </row>
    <row r="12" spans="1:9">
      <c r="A12" s="47" t="s">
        <v>58</v>
      </c>
      <c r="B12" s="46">
        <f>F10/B10</f>
        <v>-0.35714285714285715</v>
      </c>
    </row>
    <row r="13" spans="1:9">
      <c r="A13" s="40" t="s">
        <v>43</v>
      </c>
      <c r="B13" s="4">
        <f>B12*I6+I5</f>
        <v>1253.5714285714287</v>
      </c>
    </row>
  </sheetData>
  <mergeCells count="3">
    <mergeCell ref="B1:H1"/>
    <mergeCell ref="A3:B3"/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118A6-F8C3-49E8-8807-CC8C89FFD910}">
  <dimension ref="A1:F11"/>
  <sheetViews>
    <sheetView workbookViewId="0">
      <selection activeCell="A11" sqref="A11"/>
    </sheetView>
  </sheetViews>
  <sheetFormatPr defaultRowHeight="15"/>
  <cols>
    <col min="1" max="1" width="14.7109375" customWidth="1"/>
    <col min="2" max="2" width="17.7109375" customWidth="1"/>
    <col min="3" max="3" width="17.85546875" customWidth="1"/>
    <col min="4" max="4" width="15.28515625" customWidth="1"/>
  </cols>
  <sheetData>
    <row r="1" spans="1:6" ht="15.75" customHeight="1">
      <c r="A1" s="6" t="s">
        <v>59</v>
      </c>
      <c r="B1" s="7" t="s">
        <v>60</v>
      </c>
      <c r="C1" s="7"/>
      <c r="D1" s="7"/>
      <c r="E1" s="7"/>
      <c r="F1" s="7"/>
    </row>
    <row r="2" spans="1:6">
      <c r="A2" t="s">
        <v>61</v>
      </c>
    </row>
    <row r="3" spans="1:6">
      <c r="A3" s="50" t="s">
        <v>62</v>
      </c>
      <c r="B3" s="31" t="s">
        <v>63</v>
      </c>
      <c r="C3" s="31"/>
      <c r="D3" s="51" t="s">
        <v>64</v>
      </c>
    </row>
    <row r="4" spans="1:6" ht="29.25">
      <c r="A4" s="50"/>
      <c r="B4" s="52" t="s">
        <v>65</v>
      </c>
      <c r="C4" s="53" t="s">
        <v>66</v>
      </c>
      <c r="D4" s="54"/>
    </row>
    <row r="5" spans="1:6">
      <c r="A5" s="10">
        <v>1</v>
      </c>
      <c r="B5" s="10">
        <v>25</v>
      </c>
      <c r="C5" s="10">
        <v>20</v>
      </c>
      <c r="D5" s="49">
        <f>_xlfn.PERCENTOF(C5,B5)</f>
        <v>0.8</v>
      </c>
    </row>
    <row r="6" spans="1:6">
      <c r="A6" s="10">
        <v>2</v>
      </c>
      <c r="B6" s="10">
        <v>26</v>
      </c>
      <c r="C6" s="10">
        <v>24</v>
      </c>
      <c r="D6" s="49">
        <f t="shared" ref="D6:D9" si="0">_xlfn.PERCENTOF(C6,B6)</f>
        <v>0.92307692307692313</v>
      </c>
    </row>
    <row r="7" spans="1:6">
      <c r="A7" s="10">
        <v>3</v>
      </c>
      <c r="B7" s="10">
        <v>23</v>
      </c>
      <c r="C7" s="10">
        <v>23</v>
      </c>
      <c r="D7" s="49">
        <f t="shared" si="0"/>
        <v>1</v>
      </c>
    </row>
    <row r="8" spans="1:6">
      <c r="A8" s="10">
        <v>4</v>
      </c>
      <c r="B8" s="10">
        <v>26</v>
      </c>
      <c r="C8" s="10">
        <v>23</v>
      </c>
      <c r="D8" s="49">
        <f t="shared" si="0"/>
        <v>0.88461538461538458</v>
      </c>
    </row>
    <row r="9" spans="1:6">
      <c r="A9" s="39" t="s">
        <v>5</v>
      </c>
      <c r="B9" s="10">
        <f>SUM(B5:B8)</f>
        <v>100</v>
      </c>
      <c r="C9" s="10">
        <f>SUM(C5:C8)</f>
        <v>90</v>
      </c>
      <c r="D9" s="49">
        <f t="shared" si="0"/>
        <v>0.9</v>
      </c>
    </row>
    <row r="11" spans="1:6" ht="52.5" customHeight="1">
      <c r="A11" s="22" t="s">
        <v>67</v>
      </c>
      <c r="B11" s="4">
        <f>(D5*B5+D6*B6+D7*B7+D8*B8)/100</f>
        <v>0.9</v>
      </c>
      <c r="C11" t="s">
        <v>68</v>
      </c>
    </row>
  </sheetData>
  <mergeCells count="4">
    <mergeCell ref="B3:C3"/>
    <mergeCell ref="B1:F1"/>
    <mergeCell ref="A3:A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2025-12-29T14:06:49Z</dcterms:created>
  <dcterms:modified xsi:type="dcterms:W3CDTF">2025-12-29T16:26:59Z</dcterms:modified>
  <cp:category/>
  <cp:contentStatus/>
</cp:coreProperties>
</file>